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t\Desktop\nx design\designs\me407_REV3_FINAL\"/>
    </mc:Choice>
  </mc:AlternateContent>
  <xr:revisionPtr revIDLastSave="0" documentId="13_ncr:1_{42A50700-4959-4A1F-A4CB-C023A943528E}" xr6:coauthVersionLast="45" xr6:coauthVersionMax="45" xr10:uidLastSave="{00000000-0000-0000-0000-000000000000}"/>
  <bookViews>
    <workbookView xWindow="-26730" yWindow="3150" windowWidth="21600" windowHeight="11400" xr2:uid="{CD531AB7-4D59-4C98-A21E-D517356D4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40" i="1" l="1"/>
  <c r="U45" i="1"/>
  <c r="U50" i="1"/>
  <c r="U55" i="1"/>
  <c r="U44" i="1"/>
  <c r="U43" i="1"/>
  <c r="U49" i="1"/>
  <c r="U48" i="1"/>
  <c r="U39" i="1"/>
  <c r="U38" i="1"/>
  <c r="U37" i="1"/>
  <c r="U34" i="1"/>
  <c r="U30" i="1"/>
  <c r="U31" i="1"/>
  <c r="U32" i="1"/>
  <c r="U33" i="1"/>
  <c r="U29" i="1"/>
  <c r="AA6" i="1"/>
  <c r="O21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N24" i="1"/>
  <c r="O24" i="1" s="1"/>
  <c r="N23" i="1"/>
  <c r="O23" i="1" s="1"/>
  <c r="O22" i="1"/>
  <c r="O20" i="1"/>
  <c r="O19" i="1"/>
  <c r="O18" i="1"/>
  <c r="O17" i="1"/>
  <c r="O16" i="1"/>
  <c r="O15" i="1"/>
  <c r="O14" i="1"/>
  <c r="O13" i="1"/>
  <c r="O12" i="1"/>
  <c r="N11" i="1"/>
  <c r="O11" i="1" s="1"/>
  <c r="O10" i="1"/>
  <c r="O9" i="1"/>
  <c r="O8" i="1"/>
  <c r="O7" i="1"/>
  <c r="N7" i="1"/>
  <c r="O6" i="1"/>
  <c r="N6" i="1"/>
  <c r="O5" i="1"/>
  <c r="N4" i="1"/>
  <c r="O4" i="1" s="1"/>
  <c r="O3" i="1"/>
  <c r="O58" i="1" s="1"/>
  <c r="O2" i="1"/>
</calcChain>
</file>

<file path=xl/sharedStrings.xml><?xml version="1.0" encoding="utf-8"?>
<sst xmlns="http://schemas.openxmlformats.org/spreadsheetml/2006/main" count="472" uniqueCount="119">
  <si>
    <t>Descriptive Part Name</t>
  </si>
  <si>
    <t>Count</t>
  </si>
  <si>
    <t/>
  </si>
  <si>
    <t xml:space="preserve">        mpu6050</t>
  </si>
  <si>
    <t xml:space="preserve">            MPU_ArkaBlokprt x 2</t>
  </si>
  <si>
    <t xml:space="preserve">        8_digit_7_segment v7 v1_step</t>
  </si>
  <si>
    <t xml:space="preserve">        mentese</t>
  </si>
  <si>
    <t xml:space="preserve">        4mm_shaft</t>
  </si>
  <si>
    <t xml:space="preserve">        4mmShaft_fixer x 2</t>
  </si>
  <si>
    <t xml:space="preserve">        4mmShaft_fixer_Rev2 x 2</t>
  </si>
  <si>
    <t xml:space="preserve">        plexyBase</t>
  </si>
  <si>
    <t xml:space="preserve">        coupling8_5</t>
  </si>
  <si>
    <t xml:space="preserve">        TrapexMil</t>
  </si>
  <si>
    <t xml:space="preserve">        motorShaftHolder</t>
  </si>
  <si>
    <t xml:space="preserve">        TrapexMilSOMUN</t>
  </si>
  <si>
    <t xml:space="preserve">        NEMA_17_STEPPER_34mm</t>
  </si>
  <si>
    <t xml:space="preserve">    plexyBase_Alt</t>
  </si>
  <si>
    <t xml:space="preserve">    pcbKart_3x7</t>
  </si>
  <si>
    <t xml:space="preserve">    pcbKart_2x8</t>
  </si>
  <si>
    <t xml:space="preserve">    topAssemblyprt</t>
  </si>
  <si>
    <t xml:space="preserve">        Shf 8</t>
  </si>
  <si>
    <t xml:space="preserve">        4mm_shaft_USTRAY</t>
  </si>
  <si>
    <t xml:space="preserve">        GT2_16 Teeth Pulley.</t>
  </si>
  <si>
    <t xml:space="preserve">        8MM_ust_MIL</t>
  </si>
  <si>
    <t xml:space="preserve">        GT2_80Tooth_customPulley</t>
  </si>
  <si>
    <t xml:space="preserve">        NEMA11_stepper</t>
  </si>
  <si>
    <t xml:space="preserve">        nema11_ust_adaptor</t>
  </si>
  <si>
    <t xml:space="preserve">        GT2_200mm_kapaliKayis</t>
  </si>
  <si>
    <t xml:space="preserve">    DISPLAY_SUBBASS</t>
  </si>
  <si>
    <t xml:space="preserve">        4mm_shaft_50mm</t>
  </si>
  <si>
    <t xml:space="preserve">        4mm_shaft_100mm</t>
  </si>
  <si>
    <t xml:space="preserve">        Alt_pim_ADAPTOR</t>
  </si>
  <si>
    <t xml:space="preserve">        Alt_pim_ADAPTOR_mirror</t>
  </si>
  <si>
    <t xml:space="preserve">        35mm_cekmePimi</t>
  </si>
  <si>
    <t xml:space="preserve">        yeni_taban_MIRROR</t>
  </si>
  <si>
    <t xml:space="preserve">        yeni_taban</t>
  </si>
  <si>
    <t xml:space="preserve">    motorAssembly</t>
  </si>
  <si>
    <t xml:space="preserve">        4mm_shaft_80mm</t>
  </si>
  <si>
    <t>tabla</t>
  </si>
  <si>
    <t xml:space="preserve">    base_Kose_parca</t>
  </si>
  <si>
    <t xml:space="preserve">    pcbKart_8x6</t>
  </si>
  <si>
    <t xml:space="preserve">    POS5 MAFSAL</t>
  </si>
  <si>
    <t xml:space="preserve">    A4988 RED_stepper driver</t>
  </si>
  <si>
    <t xml:space="preserve">        sliderTutucu</t>
  </si>
  <si>
    <t xml:space="preserve">        baglantiMillerArasiUst</t>
  </si>
  <si>
    <t xml:space="preserve">        4mm_shaft_110 </t>
  </si>
  <si>
    <t xml:space="preserve">        RULMAN_ic_custom</t>
  </si>
  <si>
    <t xml:space="preserve">    Hex Socket C-sunk Head Screw, DIN,M4x16</t>
  </si>
  <si>
    <t xml:space="preserve">    Hex Socket Head Cap Screw, AM,M3x0.5x8</t>
  </si>
  <si>
    <t xml:space="preserve">    Hex Nut, 1A, DIN,M3x0_5</t>
  </si>
  <si>
    <t xml:space="preserve">    Hex Socket Head Cap Screw, AM,M2.5x0.5x10</t>
  </si>
  <si>
    <t>4digit 7 segment display module</t>
  </si>
  <si>
    <t>on/OFF switch</t>
  </si>
  <si>
    <t>nrf24l01</t>
  </si>
  <si>
    <t>Arduino Nano</t>
  </si>
  <si>
    <t>3.7v lithium Battery</t>
  </si>
  <si>
    <t>step up convertor</t>
  </si>
  <si>
    <t>Joystick module</t>
  </si>
  <si>
    <t>2.1mm DC female Jack</t>
  </si>
  <si>
    <t>3.3v Stepdown regulator</t>
  </si>
  <si>
    <t>5v Stepdown regulator</t>
  </si>
  <si>
    <t>big fin</t>
  </si>
  <si>
    <t>small fin</t>
  </si>
  <si>
    <t>22nf ceramic cap</t>
  </si>
  <si>
    <t>16mgz quarts cristal oscilator</t>
  </si>
  <si>
    <t>male header</t>
  </si>
  <si>
    <t>female header</t>
  </si>
  <si>
    <t>5pin cable</t>
  </si>
  <si>
    <t xml:space="preserve">3 pin cable </t>
  </si>
  <si>
    <t>2pin cable</t>
  </si>
  <si>
    <t>12v 1.5amp DC POWER SUPLY</t>
  </si>
  <si>
    <t xml:space="preserve">    ATMega328</t>
  </si>
  <si>
    <t>2.2uF elektrolit CAP</t>
  </si>
  <si>
    <t>1000UF elektrolit cap</t>
  </si>
  <si>
    <t xml:space="preserve">        Hex Nut, 1A, DIN,M4x0_7   316</t>
  </si>
  <si>
    <t>3D Printed parts</t>
  </si>
  <si>
    <t>TOTAL PRINT TIME</t>
  </si>
  <si>
    <t>h</t>
  </si>
  <si>
    <t>COST</t>
  </si>
  <si>
    <t>TL</t>
  </si>
  <si>
    <t>TOTAL COST</t>
  </si>
  <si>
    <t>Machined PARTS</t>
  </si>
  <si>
    <t>tablaCNCfixture</t>
  </si>
  <si>
    <t>tablaCNCfixture 200x200x30 ahsap</t>
  </si>
  <si>
    <t>Tabla</t>
  </si>
  <si>
    <t>plexyBase</t>
  </si>
  <si>
    <t>plexyBase_alt</t>
  </si>
  <si>
    <t>2h</t>
  </si>
  <si>
    <t>drilling</t>
  </si>
  <si>
    <t>drilling&amp;Milling</t>
  </si>
  <si>
    <t>machiningTime</t>
  </si>
  <si>
    <t>6min</t>
  </si>
  <si>
    <t>1h</t>
  </si>
  <si>
    <t>operations</t>
  </si>
  <si>
    <t>unitCost(tl/h)</t>
  </si>
  <si>
    <t>cost</t>
  </si>
  <si>
    <t>0.5h</t>
  </si>
  <si>
    <t>Tasarim maliyeti</t>
  </si>
  <si>
    <t>Tanim</t>
  </si>
  <si>
    <t>iscilik saati</t>
  </si>
  <si>
    <t>birim maliyet</t>
  </si>
  <si>
    <t>TOPLAM MALIYET</t>
  </si>
  <si>
    <t>Mekanik Tasarim isciligi</t>
  </si>
  <si>
    <t>gelistirme testleri</t>
  </si>
  <si>
    <t>teknik resimler</t>
  </si>
  <si>
    <t>Testler dizayni calismalari</t>
  </si>
  <si>
    <t>Kalite Maliyeti</t>
  </si>
  <si>
    <t>Millerin cap olcumu/fit testleri</t>
  </si>
  <si>
    <t>uretilen parcalarin mastarla testi</t>
  </si>
  <si>
    <t>Gereksinim dogrulama testleri</t>
  </si>
  <si>
    <t>Montaj Isciligi Maliyeti</t>
  </si>
  <si>
    <t>Montaj calismalari</t>
  </si>
  <si>
    <t>Uretici yatirim maliyetleri</t>
  </si>
  <si>
    <t>elektronik&amp;yazilim tasarimi</t>
  </si>
  <si>
    <t>elektronik kart dizimi</t>
  </si>
  <si>
    <t>CNC</t>
  </si>
  <si>
    <t>CNC milling/Drilling bits</t>
  </si>
  <si>
    <t>CNC Enclosure/Isolation</t>
  </si>
  <si>
    <t>Malzeme Maliyet listesi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</si>
</sst>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49" fontId="0" fillId="2" borderId="0" xfId="0" applyNumberFormat="1" applyFill="1"/>
    <xf numFmtId="0" fontId="0" fillId="3" borderId="1" xfId="0" applyFill="1" applyBorder="1"/>
    <xf numFmtId="0" fontId="0" fillId="0" borderId="0" xfId="0" applyBorder="1"/>
    <xf numFmtId="0" fontId="0" fillId="0" borderId="6" xfId="0" applyBorder="1"/>
    <xf numFmtId="49" fontId="0" fillId="0" borderId="6" xfId="0" applyNumberFormat="1" applyBorder="1"/>
    <xf numFmtId="1" fontId="0" fillId="0" borderId="6" xfId="0" applyNumberFormat="1" applyBorder="1"/>
    <xf numFmtId="49" fontId="0" fillId="2" borderId="6" xfId="0" applyNumberFormat="1" applyFill="1" applyBorder="1"/>
    <xf numFmtId="49" fontId="0" fillId="3" borderId="6" xfId="0" applyNumberFormat="1" applyFill="1" applyBorder="1"/>
    <xf numFmtId="1" fontId="0" fillId="3" borderId="6" xfId="0" applyNumberFormat="1" applyFill="1" applyBorder="1"/>
    <xf numFmtId="0" fontId="0" fillId="3" borderId="6" xfId="0" applyFill="1" applyBorder="1"/>
    <xf numFmtId="1" fontId="0" fillId="0" borderId="7" xfId="0" applyNumberFormat="1" applyFill="1" applyBorder="1"/>
    <xf numFmtId="0" fontId="0" fillId="0" borderId="7" xfId="0" applyFill="1" applyBorder="1"/>
    <xf numFmtId="0" fontId="0" fillId="0" borderId="0" xfId="0" applyAlignment="1"/>
    <xf numFmtId="0" fontId="0" fillId="3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F467-40E8-4D5F-AE71-A12F01635B95}">
  <dimension ref="A1:AA76"/>
  <sheetViews>
    <sheetView tabSelected="1" topLeftCell="M4" zoomScale="70" zoomScaleNormal="70" workbookViewId="0">
      <selection activeCell="X29" sqref="X29"/>
    </sheetView>
  </sheetViews>
  <sheetFormatPr defaultRowHeight="15" x14ac:dyDescent="0.25"/>
  <cols>
    <col min="1" max="1" width="46.42578125" bestFit="1" customWidth="1"/>
    <col min="2" max="2" width="9.140625" style="4"/>
    <col min="12" max="12" width="37" customWidth="1"/>
    <col min="16" max="16" width="14.28515625" bestFit="1" customWidth="1"/>
    <col min="17" max="17" width="8.7109375" bestFit="1" customWidth="1"/>
    <col min="18" max="18" width="32.5703125" bestFit="1" customWidth="1"/>
    <col min="19" max="19" width="11.140625" bestFit="1" customWidth="1"/>
    <col min="21" max="21" width="19.42578125" customWidth="1"/>
    <col min="22" max="22" width="19.140625" bestFit="1" customWidth="1"/>
    <col min="23" max="23" width="18.28515625" bestFit="1" customWidth="1"/>
    <col min="24" max="25" width="15" bestFit="1" customWidth="1"/>
    <col min="26" max="26" width="19" customWidth="1"/>
  </cols>
  <sheetData>
    <row r="1" spans="1:27" x14ac:dyDescent="0.25">
      <c r="A1" s="1" t="s">
        <v>0</v>
      </c>
      <c r="B1" s="3" t="s">
        <v>1</v>
      </c>
      <c r="L1" s="8" t="s">
        <v>118</v>
      </c>
      <c r="M1" s="8"/>
      <c r="N1" s="8"/>
      <c r="O1" s="8"/>
      <c r="R1" s="8" t="s">
        <v>75</v>
      </c>
      <c r="S1" s="8"/>
      <c r="W1" s="8" t="s">
        <v>81</v>
      </c>
      <c r="X1" s="8" t="s">
        <v>93</v>
      </c>
      <c r="Y1" s="8" t="s">
        <v>90</v>
      </c>
      <c r="Z1" s="8" t="s">
        <v>94</v>
      </c>
      <c r="AA1" s="8" t="s">
        <v>95</v>
      </c>
    </row>
    <row r="2" spans="1:27" x14ac:dyDescent="0.25">
      <c r="A2" s="2" t="s">
        <v>3</v>
      </c>
      <c r="B2" s="4">
        <v>2</v>
      </c>
      <c r="L2" s="9" t="s">
        <v>3</v>
      </c>
      <c r="M2" s="10">
        <v>2</v>
      </c>
      <c r="N2" s="8">
        <v>10</v>
      </c>
      <c r="O2" s="8">
        <f>N2*M2</f>
        <v>20</v>
      </c>
      <c r="P2" t="s">
        <v>79</v>
      </c>
      <c r="R2" s="11" t="s">
        <v>4</v>
      </c>
      <c r="S2" s="10">
        <v>2</v>
      </c>
      <c r="W2" s="8" t="s">
        <v>82</v>
      </c>
      <c r="X2" s="8" t="s">
        <v>89</v>
      </c>
      <c r="Y2" s="8" t="s">
        <v>87</v>
      </c>
      <c r="Z2" s="8">
        <v>25</v>
      </c>
      <c r="AA2" s="8">
        <v>50</v>
      </c>
    </row>
    <row r="3" spans="1:27" x14ac:dyDescent="0.25">
      <c r="A3" s="5" t="s">
        <v>4</v>
      </c>
      <c r="B3" s="4">
        <v>2</v>
      </c>
      <c r="L3" s="9" t="s">
        <v>5</v>
      </c>
      <c r="M3" s="10">
        <v>1</v>
      </c>
      <c r="N3" s="8">
        <v>12</v>
      </c>
      <c r="O3" s="8">
        <f t="shared" ref="O3:O21" si="0">N3*M3</f>
        <v>12</v>
      </c>
      <c r="P3" t="s">
        <v>79</v>
      </c>
      <c r="R3" s="11" t="s">
        <v>6</v>
      </c>
      <c r="S3" s="10">
        <v>1</v>
      </c>
      <c r="W3" s="8" t="s">
        <v>84</v>
      </c>
      <c r="X3" s="8" t="s">
        <v>89</v>
      </c>
      <c r="Y3" s="8" t="s">
        <v>92</v>
      </c>
      <c r="Z3" s="8">
        <v>25</v>
      </c>
      <c r="AA3" s="8">
        <v>25</v>
      </c>
    </row>
    <row r="4" spans="1:27" x14ac:dyDescent="0.25">
      <c r="A4" s="2" t="s">
        <v>5</v>
      </c>
      <c r="B4" s="4">
        <v>1</v>
      </c>
      <c r="L4" s="9" t="s">
        <v>7</v>
      </c>
      <c r="M4" s="10">
        <v>1</v>
      </c>
      <c r="N4" s="8">
        <f>15/9</f>
        <v>1.6666666666666667</v>
      </c>
      <c r="O4" s="8">
        <f t="shared" si="0"/>
        <v>1.6666666666666667</v>
      </c>
      <c r="P4" t="s">
        <v>79</v>
      </c>
      <c r="R4" s="11" t="s">
        <v>8</v>
      </c>
      <c r="S4" s="10">
        <v>2</v>
      </c>
      <c r="W4" s="9" t="s">
        <v>85</v>
      </c>
      <c r="X4" s="8" t="s">
        <v>89</v>
      </c>
      <c r="Y4" s="8" t="s">
        <v>96</v>
      </c>
      <c r="Z4" s="8">
        <v>25</v>
      </c>
      <c r="AA4" s="8">
        <v>12.5</v>
      </c>
    </row>
    <row r="5" spans="1:27" x14ac:dyDescent="0.25">
      <c r="A5" s="5" t="s">
        <v>6</v>
      </c>
      <c r="B5" s="4">
        <v>1</v>
      </c>
      <c r="L5" s="9" t="s">
        <v>10</v>
      </c>
      <c r="M5" s="10">
        <v>1</v>
      </c>
      <c r="N5" s="8">
        <v>18</v>
      </c>
      <c r="O5" s="8">
        <f t="shared" si="0"/>
        <v>18</v>
      </c>
      <c r="P5" t="s">
        <v>79</v>
      </c>
      <c r="R5" s="11" t="s">
        <v>9</v>
      </c>
      <c r="S5" s="10">
        <v>2</v>
      </c>
      <c r="W5" s="9" t="s">
        <v>86</v>
      </c>
      <c r="X5" s="8" t="s">
        <v>88</v>
      </c>
      <c r="Y5" s="8" t="s">
        <v>91</v>
      </c>
      <c r="Z5" s="8">
        <v>25</v>
      </c>
      <c r="AA5" s="8">
        <v>2.5</v>
      </c>
    </row>
    <row r="6" spans="1:27" x14ac:dyDescent="0.25">
      <c r="A6" s="2" t="s">
        <v>7</v>
      </c>
      <c r="B6" s="4">
        <v>1</v>
      </c>
      <c r="L6" s="9" t="s">
        <v>29</v>
      </c>
      <c r="M6" s="10">
        <v>1</v>
      </c>
      <c r="N6" s="8">
        <f>15/20</f>
        <v>0.75</v>
      </c>
      <c r="O6" s="8">
        <f t="shared" si="0"/>
        <v>0.75</v>
      </c>
      <c r="P6" t="s">
        <v>79</v>
      </c>
      <c r="R6" s="11" t="s">
        <v>31</v>
      </c>
      <c r="S6" s="10">
        <v>2</v>
      </c>
      <c r="AA6" s="14">
        <f>SUM(AA2:AA5)</f>
        <v>90</v>
      </c>
    </row>
    <row r="7" spans="1:27" x14ac:dyDescent="0.25">
      <c r="A7" s="5" t="s">
        <v>8</v>
      </c>
      <c r="B7" s="4">
        <v>2</v>
      </c>
      <c r="L7" s="9" t="s">
        <v>30</v>
      </c>
      <c r="M7" s="10">
        <v>4</v>
      </c>
      <c r="N7" s="8">
        <f>15/10</f>
        <v>1.5</v>
      </c>
      <c r="O7" s="8">
        <f t="shared" si="0"/>
        <v>6</v>
      </c>
      <c r="P7" t="s">
        <v>79</v>
      </c>
      <c r="R7" s="11" t="s">
        <v>32</v>
      </c>
      <c r="S7" s="10">
        <v>2</v>
      </c>
    </row>
    <row r="8" spans="1:27" x14ac:dyDescent="0.25">
      <c r="A8" s="5" t="s">
        <v>9</v>
      </c>
      <c r="B8" s="4">
        <v>2</v>
      </c>
      <c r="L8" s="9" t="s">
        <v>33</v>
      </c>
      <c r="M8" s="10">
        <v>4</v>
      </c>
      <c r="N8" s="8">
        <v>1.5</v>
      </c>
      <c r="O8" s="8">
        <f t="shared" si="0"/>
        <v>6</v>
      </c>
      <c r="P8" t="s">
        <v>79</v>
      </c>
      <c r="R8" s="11" t="s">
        <v>34</v>
      </c>
      <c r="S8" s="10">
        <v>2</v>
      </c>
    </row>
    <row r="9" spans="1:27" x14ac:dyDescent="0.25">
      <c r="A9" s="2" t="s">
        <v>10</v>
      </c>
      <c r="B9" s="4">
        <v>1</v>
      </c>
      <c r="L9" s="9" t="s">
        <v>11</v>
      </c>
      <c r="M9" s="10">
        <v>2</v>
      </c>
      <c r="N9" s="8">
        <v>11</v>
      </c>
      <c r="O9" s="8">
        <f t="shared" si="0"/>
        <v>22</v>
      </c>
      <c r="P9" t="s">
        <v>79</v>
      </c>
      <c r="R9" s="11" t="s">
        <v>35</v>
      </c>
      <c r="S9" s="10">
        <v>2</v>
      </c>
    </row>
    <row r="10" spans="1:27" x14ac:dyDescent="0.25">
      <c r="A10" s="2" t="s">
        <v>29</v>
      </c>
      <c r="B10" s="4">
        <v>1</v>
      </c>
      <c r="L10" s="9" t="s">
        <v>12</v>
      </c>
      <c r="M10" s="10">
        <v>2</v>
      </c>
      <c r="N10" s="8">
        <v>20</v>
      </c>
      <c r="O10" s="8">
        <f t="shared" si="0"/>
        <v>40</v>
      </c>
      <c r="P10" t="s">
        <v>79</v>
      </c>
      <c r="R10" s="11" t="s">
        <v>13</v>
      </c>
      <c r="S10" s="10">
        <v>2</v>
      </c>
    </row>
    <row r="11" spans="1:27" x14ac:dyDescent="0.25">
      <c r="A11" s="2" t="s">
        <v>30</v>
      </c>
      <c r="B11" s="4">
        <v>4</v>
      </c>
      <c r="L11" s="9" t="s">
        <v>37</v>
      </c>
      <c r="M11" s="10">
        <v>2</v>
      </c>
      <c r="N11" s="8">
        <f>15/12</f>
        <v>1.25</v>
      </c>
      <c r="O11" s="8">
        <f t="shared" si="0"/>
        <v>2.5</v>
      </c>
      <c r="P11" t="s">
        <v>79</v>
      </c>
      <c r="R11" s="11" t="s">
        <v>14</v>
      </c>
      <c r="S11" s="10">
        <v>2</v>
      </c>
    </row>
    <row r="12" spans="1:27" x14ac:dyDescent="0.25">
      <c r="A12" s="5" t="s">
        <v>31</v>
      </c>
      <c r="B12" s="4">
        <v>2</v>
      </c>
      <c r="L12" s="9" t="s">
        <v>15</v>
      </c>
      <c r="M12" s="10">
        <v>2</v>
      </c>
      <c r="N12" s="8">
        <v>65</v>
      </c>
      <c r="O12" s="8">
        <f t="shared" si="0"/>
        <v>130</v>
      </c>
      <c r="P12" t="s">
        <v>79</v>
      </c>
      <c r="R12" s="11" t="s">
        <v>39</v>
      </c>
      <c r="S12" s="10">
        <v>4</v>
      </c>
    </row>
    <row r="13" spans="1:27" x14ac:dyDescent="0.25">
      <c r="A13" s="5" t="s">
        <v>32</v>
      </c>
      <c r="B13" s="4">
        <v>2</v>
      </c>
      <c r="L13" s="9" t="s">
        <v>16</v>
      </c>
      <c r="M13" s="10">
        <v>1</v>
      </c>
      <c r="N13" s="8">
        <v>10</v>
      </c>
      <c r="O13" s="8">
        <f t="shared" si="0"/>
        <v>10</v>
      </c>
      <c r="P13" t="s">
        <v>79</v>
      </c>
      <c r="R13" s="11" t="s">
        <v>43</v>
      </c>
      <c r="S13" s="10">
        <v>2</v>
      </c>
    </row>
    <row r="14" spans="1:27" x14ac:dyDescent="0.25">
      <c r="A14" s="2" t="s">
        <v>33</v>
      </c>
      <c r="B14" s="4">
        <v>4</v>
      </c>
      <c r="L14" s="9" t="s">
        <v>40</v>
      </c>
      <c r="M14" s="10">
        <v>2</v>
      </c>
      <c r="N14" s="8">
        <v>4</v>
      </c>
      <c r="O14" s="8">
        <f t="shared" si="0"/>
        <v>8</v>
      </c>
      <c r="P14" t="s">
        <v>79</v>
      </c>
      <c r="R14" s="11" t="s">
        <v>44</v>
      </c>
      <c r="S14" s="10">
        <v>2</v>
      </c>
    </row>
    <row r="15" spans="1:27" x14ac:dyDescent="0.25">
      <c r="A15" s="5" t="s">
        <v>34</v>
      </c>
      <c r="B15" s="4">
        <v>2</v>
      </c>
      <c r="L15" s="9" t="s">
        <v>17</v>
      </c>
      <c r="M15" s="10">
        <v>1</v>
      </c>
      <c r="N15" s="8">
        <v>3</v>
      </c>
      <c r="O15" s="8">
        <f t="shared" si="0"/>
        <v>3</v>
      </c>
      <c r="P15" t="s">
        <v>79</v>
      </c>
      <c r="R15" s="11" t="s">
        <v>24</v>
      </c>
      <c r="S15" s="10">
        <v>1</v>
      </c>
    </row>
    <row r="16" spans="1:27" x14ac:dyDescent="0.25">
      <c r="A16" s="5" t="s">
        <v>35</v>
      </c>
      <c r="B16" s="4">
        <v>2</v>
      </c>
      <c r="L16" s="9" t="s">
        <v>18</v>
      </c>
      <c r="M16" s="10">
        <v>1</v>
      </c>
      <c r="N16" s="8">
        <v>2.5</v>
      </c>
      <c r="O16" s="8">
        <f t="shared" si="0"/>
        <v>2.5</v>
      </c>
      <c r="P16" t="s">
        <v>79</v>
      </c>
      <c r="R16" s="11" t="s">
        <v>26</v>
      </c>
      <c r="S16" s="10">
        <v>1</v>
      </c>
    </row>
    <row r="17" spans="1:25" x14ac:dyDescent="0.25">
      <c r="A17" s="2" t="s">
        <v>36</v>
      </c>
      <c r="B17" s="4">
        <v>2</v>
      </c>
      <c r="L17" s="9" t="s">
        <v>41</v>
      </c>
      <c r="M17" s="10">
        <v>2</v>
      </c>
      <c r="N17" s="8">
        <v>10</v>
      </c>
      <c r="O17" s="8">
        <f t="shared" si="0"/>
        <v>20</v>
      </c>
      <c r="P17" t="s">
        <v>79</v>
      </c>
      <c r="R17" s="8"/>
      <c r="S17" s="8"/>
    </row>
    <row r="18" spans="1:25" x14ac:dyDescent="0.25">
      <c r="A18" s="2" t="s">
        <v>11</v>
      </c>
      <c r="B18" s="4">
        <v>2</v>
      </c>
      <c r="L18" s="9" t="s">
        <v>42</v>
      </c>
      <c r="M18" s="10">
        <v>3</v>
      </c>
      <c r="N18" s="8">
        <v>9</v>
      </c>
      <c r="O18" s="8">
        <f t="shared" si="0"/>
        <v>27</v>
      </c>
      <c r="P18" t="s">
        <v>79</v>
      </c>
      <c r="R18" s="12" t="s">
        <v>76</v>
      </c>
      <c r="S18" s="13">
        <v>6</v>
      </c>
      <c r="T18" s="14" t="s">
        <v>77</v>
      </c>
    </row>
    <row r="19" spans="1:25" x14ac:dyDescent="0.25">
      <c r="A19" s="2" t="s">
        <v>12</v>
      </c>
      <c r="B19" s="4">
        <v>2</v>
      </c>
      <c r="L19" s="9" t="s">
        <v>71</v>
      </c>
      <c r="M19" s="10">
        <v>4</v>
      </c>
      <c r="N19" s="8">
        <v>20</v>
      </c>
      <c r="O19" s="8">
        <f t="shared" si="0"/>
        <v>80</v>
      </c>
      <c r="P19" t="s">
        <v>79</v>
      </c>
      <c r="R19" s="12" t="s">
        <v>78</v>
      </c>
      <c r="S19" s="13">
        <v>12</v>
      </c>
      <c r="T19" s="14" t="s">
        <v>79</v>
      </c>
    </row>
    <row r="20" spans="1:25" x14ac:dyDescent="0.25">
      <c r="A20" s="5" t="s">
        <v>13</v>
      </c>
      <c r="B20" s="4">
        <v>2</v>
      </c>
      <c r="L20" s="9" t="s">
        <v>38</v>
      </c>
      <c r="M20" s="10">
        <v>1</v>
      </c>
      <c r="N20" s="8">
        <v>4</v>
      </c>
      <c r="O20" s="8">
        <f t="shared" si="0"/>
        <v>4</v>
      </c>
      <c r="P20" t="s">
        <v>79</v>
      </c>
    </row>
    <row r="21" spans="1:25" x14ac:dyDescent="0.25">
      <c r="A21" s="2" t="s">
        <v>37</v>
      </c>
      <c r="B21" s="4">
        <v>2</v>
      </c>
      <c r="L21" s="9" t="s">
        <v>83</v>
      </c>
      <c r="M21" s="15">
        <v>1</v>
      </c>
      <c r="N21" s="16">
        <v>20</v>
      </c>
      <c r="O21" s="16">
        <f t="shared" si="0"/>
        <v>20</v>
      </c>
      <c r="P21" t="s">
        <v>79</v>
      </c>
    </row>
    <row r="22" spans="1:25" x14ac:dyDescent="0.25">
      <c r="A22" s="5" t="s">
        <v>14</v>
      </c>
      <c r="B22" s="4">
        <v>2</v>
      </c>
      <c r="L22" s="9" t="s">
        <v>20</v>
      </c>
      <c r="M22" s="10">
        <v>1</v>
      </c>
      <c r="N22" s="8">
        <v>20</v>
      </c>
      <c r="O22" s="8">
        <f>N22*M22</f>
        <v>20</v>
      </c>
      <c r="P22" t="s">
        <v>79</v>
      </c>
    </row>
    <row r="23" spans="1:25" x14ac:dyDescent="0.25">
      <c r="A23" s="2" t="s">
        <v>15</v>
      </c>
      <c r="B23" s="4">
        <v>2</v>
      </c>
      <c r="L23" s="9" t="s">
        <v>21</v>
      </c>
      <c r="M23" s="10">
        <v>1</v>
      </c>
      <c r="N23" s="8">
        <f>15/10</f>
        <v>1.5</v>
      </c>
      <c r="O23" s="8">
        <f>N23*M23</f>
        <v>1.5</v>
      </c>
      <c r="P23" t="s">
        <v>79</v>
      </c>
    </row>
    <row r="24" spans="1:25" x14ac:dyDescent="0.25">
      <c r="A24" s="2" t="s">
        <v>16</v>
      </c>
      <c r="B24" s="4">
        <v>1</v>
      </c>
      <c r="L24" s="9" t="s">
        <v>45</v>
      </c>
      <c r="M24" s="10">
        <v>2</v>
      </c>
      <c r="N24" s="8">
        <f>15/9</f>
        <v>1.6666666666666667</v>
      </c>
      <c r="O24" s="8">
        <f>N24*M24</f>
        <v>3.3333333333333335</v>
      </c>
      <c r="P24" t="s">
        <v>79</v>
      </c>
    </row>
    <row r="25" spans="1:25" x14ac:dyDescent="0.25">
      <c r="A25" s="5" t="s">
        <v>39</v>
      </c>
      <c r="B25" s="4">
        <v>3</v>
      </c>
      <c r="L25" s="9" t="s">
        <v>22</v>
      </c>
      <c r="M25" s="10">
        <v>1</v>
      </c>
      <c r="N25" s="8">
        <v>10</v>
      </c>
      <c r="O25" s="8">
        <f>N25*M25</f>
        <v>10</v>
      </c>
      <c r="P25" t="s">
        <v>79</v>
      </c>
    </row>
    <row r="26" spans="1:25" ht="15.75" thickBot="1" x14ac:dyDescent="0.3">
      <c r="A26" s="2" t="s">
        <v>40</v>
      </c>
      <c r="B26" s="4">
        <v>2</v>
      </c>
      <c r="L26" s="9" t="s">
        <v>23</v>
      </c>
      <c r="M26" s="10">
        <v>1</v>
      </c>
      <c r="N26" s="8">
        <v>3</v>
      </c>
      <c r="O26" s="8">
        <f>N26*M26</f>
        <v>3</v>
      </c>
      <c r="P26" t="s">
        <v>79</v>
      </c>
    </row>
    <row r="27" spans="1:25" x14ac:dyDescent="0.25">
      <c r="A27" s="2" t="s">
        <v>17</v>
      </c>
      <c r="B27" s="4">
        <v>1</v>
      </c>
      <c r="L27" s="9" t="s">
        <v>25</v>
      </c>
      <c r="M27" s="10">
        <v>1</v>
      </c>
      <c r="N27" s="8">
        <v>140</v>
      </c>
      <c r="O27" s="8">
        <f>N27*M27</f>
        <v>140</v>
      </c>
      <c r="P27" t="s">
        <v>79</v>
      </c>
      <c r="R27" s="19" t="s">
        <v>97</v>
      </c>
      <c r="S27" s="20"/>
      <c r="T27" s="20"/>
      <c r="U27" s="20"/>
      <c r="V27" s="21"/>
      <c r="W27" s="17"/>
      <c r="X27" s="17"/>
      <c r="Y27" s="17"/>
    </row>
    <row r="28" spans="1:25" x14ac:dyDescent="0.25">
      <c r="A28" s="2" t="s">
        <v>18</v>
      </c>
      <c r="B28" s="4">
        <v>1</v>
      </c>
      <c r="L28" s="9" t="s">
        <v>46</v>
      </c>
      <c r="M28" s="10">
        <v>2</v>
      </c>
      <c r="N28" s="8">
        <v>10</v>
      </c>
      <c r="O28" s="8">
        <f>N28*M28</f>
        <v>20</v>
      </c>
      <c r="P28" t="s">
        <v>79</v>
      </c>
      <c r="R28" s="8" t="s">
        <v>98</v>
      </c>
      <c r="S28" s="8" t="s">
        <v>99</v>
      </c>
      <c r="T28" s="8" t="s">
        <v>100</v>
      </c>
      <c r="U28" s="8" t="s">
        <v>101</v>
      </c>
      <c r="V28" s="8"/>
    </row>
    <row r="29" spans="1:25" x14ac:dyDescent="0.25">
      <c r="A29" s="2" t="s">
        <v>41</v>
      </c>
      <c r="B29" s="4">
        <v>2</v>
      </c>
      <c r="L29" s="9" t="s">
        <v>27</v>
      </c>
      <c r="M29" s="10">
        <v>1</v>
      </c>
      <c r="N29" s="8">
        <v>12</v>
      </c>
      <c r="O29" s="8">
        <f>N29*M29</f>
        <v>12</v>
      </c>
      <c r="P29" t="s">
        <v>79</v>
      </c>
      <c r="R29" s="8" t="s">
        <v>102</v>
      </c>
      <c r="S29" s="8">
        <v>150</v>
      </c>
      <c r="T29" s="8">
        <v>35</v>
      </c>
      <c r="U29" s="8">
        <f>T29*S29</f>
        <v>5250</v>
      </c>
      <c r="V29" s="8" t="s">
        <v>79</v>
      </c>
    </row>
    <row r="30" spans="1:25" x14ac:dyDescent="0.25">
      <c r="A30" s="2" t="s">
        <v>42</v>
      </c>
      <c r="B30" s="4">
        <v>3</v>
      </c>
      <c r="L30" s="9" t="s">
        <v>74</v>
      </c>
      <c r="M30" s="10">
        <v>6</v>
      </c>
      <c r="N30" s="8">
        <v>0.04</v>
      </c>
      <c r="O30" s="8">
        <f>N30*M30</f>
        <v>0.24</v>
      </c>
      <c r="P30" t="s">
        <v>79</v>
      </c>
      <c r="R30" s="8" t="s">
        <v>113</v>
      </c>
      <c r="S30" s="8">
        <v>100</v>
      </c>
      <c r="T30" s="8">
        <v>35</v>
      </c>
      <c r="U30" s="8">
        <f t="shared" ref="U30:U33" si="1">T30*S30</f>
        <v>3500</v>
      </c>
      <c r="V30" s="8" t="s">
        <v>79</v>
      </c>
    </row>
    <row r="31" spans="1:25" x14ac:dyDescent="0.25">
      <c r="A31" s="2" t="s">
        <v>71</v>
      </c>
      <c r="B31" s="4">
        <v>4</v>
      </c>
      <c r="L31" s="9" t="s">
        <v>28</v>
      </c>
      <c r="M31" s="10">
        <v>1</v>
      </c>
      <c r="N31" s="8"/>
      <c r="O31" s="8">
        <f>N31*M31</f>
        <v>0</v>
      </c>
      <c r="P31" t="s">
        <v>79</v>
      </c>
      <c r="R31" s="8" t="s">
        <v>105</v>
      </c>
      <c r="S31" s="8">
        <v>5</v>
      </c>
      <c r="T31" s="8">
        <v>35</v>
      </c>
      <c r="U31" s="8">
        <f t="shared" si="1"/>
        <v>175</v>
      </c>
      <c r="V31" s="8" t="s">
        <v>79</v>
      </c>
    </row>
    <row r="32" spans="1:25" x14ac:dyDescent="0.25">
      <c r="A32" s="2" t="s">
        <v>19</v>
      </c>
      <c r="B32" s="4">
        <v>1</v>
      </c>
      <c r="L32" s="9" t="s">
        <v>47</v>
      </c>
      <c r="M32" s="10">
        <v>24</v>
      </c>
      <c r="N32" s="8">
        <v>0.3</v>
      </c>
      <c r="O32" s="8">
        <f>N32*M32</f>
        <v>7.1999999999999993</v>
      </c>
      <c r="P32" t="s">
        <v>79</v>
      </c>
      <c r="R32" s="8" t="s">
        <v>103</v>
      </c>
      <c r="S32" s="8">
        <v>5</v>
      </c>
      <c r="T32" s="8">
        <v>35</v>
      </c>
      <c r="U32" s="8">
        <f t="shared" si="1"/>
        <v>175</v>
      </c>
      <c r="V32" s="8" t="s">
        <v>79</v>
      </c>
    </row>
    <row r="33" spans="1:25" x14ac:dyDescent="0.25">
      <c r="A33" s="2" t="s">
        <v>83</v>
      </c>
      <c r="L33" s="9" t="s">
        <v>48</v>
      </c>
      <c r="M33" s="10">
        <v>24</v>
      </c>
      <c r="N33" s="8">
        <v>0.5</v>
      </c>
      <c r="O33" s="8">
        <f>N33*M33</f>
        <v>12</v>
      </c>
      <c r="P33" t="s">
        <v>79</v>
      </c>
      <c r="R33" s="8" t="s">
        <v>104</v>
      </c>
      <c r="S33" s="8">
        <v>2</v>
      </c>
      <c r="T33" s="8">
        <v>35</v>
      </c>
      <c r="U33" s="8">
        <f t="shared" si="1"/>
        <v>70</v>
      </c>
      <c r="V33" s="8" t="s">
        <v>79</v>
      </c>
    </row>
    <row r="34" spans="1:25" ht="15.75" thickBot="1" x14ac:dyDescent="0.3">
      <c r="A34" s="2" t="s">
        <v>38</v>
      </c>
      <c r="B34" s="4">
        <v>1</v>
      </c>
      <c r="L34" s="9" t="s">
        <v>49</v>
      </c>
      <c r="M34" s="10">
        <v>29</v>
      </c>
      <c r="N34" s="8">
        <v>0.36</v>
      </c>
      <c r="O34" s="8">
        <f>N34*M34</f>
        <v>10.44</v>
      </c>
      <c r="P34" t="s">
        <v>79</v>
      </c>
      <c r="U34" s="8">
        <f>SUM(U29:U33)</f>
        <v>9170</v>
      </c>
      <c r="V34" s="8" t="s">
        <v>79</v>
      </c>
    </row>
    <row r="35" spans="1:25" x14ac:dyDescent="0.25">
      <c r="A35" s="2" t="s">
        <v>20</v>
      </c>
      <c r="B35" s="4">
        <v>1</v>
      </c>
      <c r="L35" s="9" t="s">
        <v>50</v>
      </c>
      <c r="M35" s="10">
        <v>4</v>
      </c>
      <c r="N35" s="8">
        <v>2</v>
      </c>
      <c r="O35" s="8">
        <f>N35*M35</f>
        <v>8</v>
      </c>
      <c r="P35" t="s">
        <v>79</v>
      </c>
      <c r="R35" s="19" t="s">
        <v>106</v>
      </c>
      <c r="S35" s="20"/>
      <c r="T35" s="20"/>
      <c r="U35" s="23"/>
      <c r="V35" s="24"/>
    </row>
    <row r="36" spans="1:25" x14ac:dyDescent="0.25">
      <c r="A36" s="5" t="s">
        <v>43</v>
      </c>
      <c r="B36" s="4">
        <v>2</v>
      </c>
      <c r="L36" s="9" t="s">
        <v>51</v>
      </c>
      <c r="M36" s="10">
        <v>1</v>
      </c>
      <c r="N36" s="8">
        <v>14</v>
      </c>
      <c r="O36" s="8">
        <f>N36*M36</f>
        <v>14</v>
      </c>
      <c r="P36" t="s">
        <v>79</v>
      </c>
      <c r="R36" s="8" t="s">
        <v>98</v>
      </c>
      <c r="S36" s="8" t="s">
        <v>99</v>
      </c>
      <c r="T36" s="8" t="s">
        <v>100</v>
      </c>
      <c r="U36" s="8" t="s">
        <v>101</v>
      </c>
      <c r="V36" s="8"/>
    </row>
    <row r="37" spans="1:25" x14ac:dyDescent="0.25">
      <c r="A37" s="2" t="s">
        <v>21</v>
      </c>
      <c r="B37" s="4">
        <v>1</v>
      </c>
      <c r="L37" s="9" t="s">
        <v>52</v>
      </c>
      <c r="M37" s="10">
        <v>1</v>
      </c>
      <c r="N37" s="8">
        <v>1.5</v>
      </c>
      <c r="O37" s="8">
        <f>N37*M37</f>
        <v>1.5</v>
      </c>
      <c r="P37" t="s">
        <v>79</v>
      </c>
      <c r="R37" s="8" t="s">
        <v>107</v>
      </c>
      <c r="S37" s="8">
        <v>1</v>
      </c>
      <c r="T37" s="8">
        <v>35</v>
      </c>
      <c r="U37" s="8">
        <f t="shared" ref="U37:U39" si="2">T37*S37</f>
        <v>35</v>
      </c>
      <c r="V37" s="8" t="s">
        <v>79</v>
      </c>
    </row>
    <row r="38" spans="1:25" x14ac:dyDescent="0.25">
      <c r="A38" s="5" t="s">
        <v>44</v>
      </c>
      <c r="B38" s="4">
        <v>2</v>
      </c>
      <c r="L38" s="9" t="s">
        <v>53</v>
      </c>
      <c r="M38" s="10">
        <v>2</v>
      </c>
      <c r="N38" s="8">
        <v>8</v>
      </c>
      <c r="O38" s="8">
        <f>N38*M38</f>
        <v>16</v>
      </c>
      <c r="P38" t="s">
        <v>79</v>
      </c>
      <c r="R38" s="8" t="s">
        <v>108</v>
      </c>
      <c r="S38" s="8">
        <v>1</v>
      </c>
      <c r="T38" s="8">
        <v>35</v>
      </c>
      <c r="U38" s="8">
        <f t="shared" si="2"/>
        <v>35</v>
      </c>
      <c r="V38" s="8" t="s">
        <v>79</v>
      </c>
    </row>
    <row r="39" spans="1:25" x14ac:dyDescent="0.25">
      <c r="A39" s="2" t="s">
        <v>45</v>
      </c>
      <c r="B39" s="4">
        <v>2</v>
      </c>
      <c r="L39" s="9" t="s">
        <v>54</v>
      </c>
      <c r="M39" s="10">
        <v>1</v>
      </c>
      <c r="N39" s="8">
        <v>24</v>
      </c>
      <c r="O39" s="8">
        <f>N39*M39</f>
        <v>24</v>
      </c>
      <c r="P39" t="s">
        <v>79</v>
      </c>
      <c r="R39" s="8" t="s">
        <v>109</v>
      </c>
      <c r="S39" s="8">
        <v>10</v>
      </c>
      <c r="T39" s="8">
        <v>35</v>
      </c>
      <c r="U39" s="8">
        <f t="shared" si="2"/>
        <v>350</v>
      </c>
      <c r="V39" s="8" t="s">
        <v>79</v>
      </c>
    </row>
    <row r="40" spans="1:25" ht="15.75" thickBot="1" x14ac:dyDescent="0.3">
      <c r="A40" s="2" t="s">
        <v>22</v>
      </c>
      <c r="B40" s="4">
        <v>1</v>
      </c>
      <c r="L40" s="9" t="s">
        <v>55</v>
      </c>
      <c r="M40" s="10">
        <v>1</v>
      </c>
      <c r="N40" s="8">
        <v>24</v>
      </c>
      <c r="O40" s="8">
        <f>N40*M40</f>
        <v>24</v>
      </c>
      <c r="P40" t="s">
        <v>79</v>
      </c>
      <c r="U40">
        <f>SUM(U37:U39)</f>
        <v>420</v>
      </c>
      <c r="V40" t="s">
        <v>79</v>
      </c>
    </row>
    <row r="41" spans="1:25" x14ac:dyDescent="0.25">
      <c r="A41" s="2" t="s">
        <v>23</v>
      </c>
      <c r="B41" s="4">
        <v>1</v>
      </c>
      <c r="L41" s="9" t="s">
        <v>56</v>
      </c>
      <c r="M41" s="10">
        <v>1</v>
      </c>
      <c r="N41" s="8">
        <v>6</v>
      </c>
      <c r="O41" s="8">
        <f>N41*M41</f>
        <v>6</v>
      </c>
      <c r="P41" t="s">
        <v>79</v>
      </c>
      <c r="R41" s="19" t="s">
        <v>110</v>
      </c>
      <c r="S41" s="20"/>
      <c r="T41" s="20"/>
      <c r="U41" s="20"/>
      <c r="V41" s="21"/>
    </row>
    <row r="42" spans="1:25" x14ac:dyDescent="0.25">
      <c r="A42" s="5" t="s">
        <v>24</v>
      </c>
      <c r="B42" s="4">
        <v>1</v>
      </c>
      <c r="L42" s="9" t="s">
        <v>57</v>
      </c>
      <c r="M42" s="10">
        <v>1</v>
      </c>
      <c r="N42" s="8">
        <v>3</v>
      </c>
      <c r="O42" s="8">
        <f>N42*M42</f>
        <v>3</v>
      </c>
      <c r="P42" t="s">
        <v>79</v>
      </c>
      <c r="R42" s="8" t="s">
        <v>98</v>
      </c>
      <c r="S42" s="8" t="s">
        <v>99</v>
      </c>
      <c r="T42" s="8" t="s">
        <v>100</v>
      </c>
      <c r="U42" s="8" t="s">
        <v>101</v>
      </c>
      <c r="V42" s="8"/>
    </row>
    <row r="43" spans="1:25" x14ac:dyDescent="0.25">
      <c r="A43" s="2" t="s">
        <v>25</v>
      </c>
      <c r="B43" s="4">
        <v>1</v>
      </c>
      <c r="L43" s="9" t="s">
        <v>58</v>
      </c>
      <c r="M43" s="10">
        <v>1</v>
      </c>
      <c r="N43" s="8">
        <v>2</v>
      </c>
      <c r="O43" s="8">
        <f>N43*M43</f>
        <v>2</v>
      </c>
      <c r="P43" t="s">
        <v>79</v>
      </c>
      <c r="R43" s="8" t="s">
        <v>111</v>
      </c>
      <c r="S43" s="8">
        <v>1</v>
      </c>
      <c r="T43" s="8">
        <v>35</v>
      </c>
      <c r="U43" s="8">
        <f t="shared" ref="U43:U44" si="3">T43*S43</f>
        <v>35</v>
      </c>
      <c r="V43" s="8" t="s">
        <v>79</v>
      </c>
    </row>
    <row r="44" spans="1:25" x14ac:dyDescent="0.25">
      <c r="A44" s="2" t="s">
        <v>46</v>
      </c>
      <c r="B44" s="4">
        <v>2</v>
      </c>
      <c r="L44" s="9" t="s">
        <v>59</v>
      </c>
      <c r="M44" s="10">
        <v>1</v>
      </c>
      <c r="N44" s="8">
        <v>2.5</v>
      </c>
      <c r="O44" s="8">
        <f>N44*M44</f>
        <v>2.5</v>
      </c>
      <c r="P44" t="s">
        <v>79</v>
      </c>
      <c r="R44" s="8" t="s">
        <v>114</v>
      </c>
      <c r="S44" s="8">
        <v>5</v>
      </c>
      <c r="T44" s="8">
        <v>35</v>
      </c>
      <c r="U44" s="8">
        <f t="shared" si="3"/>
        <v>175</v>
      </c>
      <c r="V44" s="8" t="s">
        <v>79</v>
      </c>
      <c r="Y44" s="17"/>
    </row>
    <row r="45" spans="1:25" ht="15.75" thickBot="1" x14ac:dyDescent="0.3">
      <c r="A45" s="5" t="s">
        <v>26</v>
      </c>
      <c r="B45" s="4">
        <v>1</v>
      </c>
      <c r="L45" s="9" t="s">
        <v>60</v>
      </c>
      <c r="M45" s="10">
        <v>1</v>
      </c>
      <c r="N45" s="8">
        <v>3</v>
      </c>
      <c r="O45" s="8">
        <f>N45*M45</f>
        <v>3</v>
      </c>
      <c r="P45" t="s">
        <v>79</v>
      </c>
      <c r="U45" s="8">
        <f>SUM(U43:U44)</f>
        <v>210</v>
      </c>
      <c r="V45" s="8" t="s">
        <v>79</v>
      </c>
    </row>
    <row r="46" spans="1:25" x14ac:dyDescent="0.25">
      <c r="A46" s="2" t="s">
        <v>27</v>
      </c>
      <c r="B46" s="4">
        <v>1</v>
      </c>
      <c r="L46" s="9" t="s">
        <v>61</v>
      </c>
      <c r="M46" s="10">
        <v>1</v>
      </c>
      <c r="N46" s="8">
        <v>2</v>
      </c>
      <c r="O46" s="8">
        <f>N46*M46</f>
        <v>2</v>
      </c>
      <c r="P46" t="s">
        <v>79</v>
      </c>
      <c r="R46" s="19" t="s">
        <v>110</v>
      </c>
      <c r="S46" s="20"/>
      <c r="T46" s="20"/>
      <c r="U46" s="23"/>
      <c r="V46" s="24"/>
    </row>
    <row r="47" spans="1:25" x14ac:dyDescent="0.25">
      <c r="A47" s="2" t="s">
        <v>74</v>
      </c>
      <c r="B47" s="4">
        <v>6</v>
      </c>
      <c r="L47" s="9" t="s">
        <v>62</v>
      </c>
      <c r="M47" s="10">
        <v>4</v>
      </c>
      <c r="N47" s="8">
        <v>1.2</v>
      </c>
      <c r="O47" s="8">
        <f>N47*M47</f>
        <v>4.8</v>
      </c>
      <c r="P47" t="s">
        <v>79</v>
      </c>
      <c r="R47" s="8" t="s">
        <v>98</v>
      </c>
      <c r="S47" s="8" t="s">
        <v>99</v>
      </c>
      <c r="T47" s="8" t="s">
        <v>100</v>
      </c>
      <c r="U47" s="8" t="s">
        <v>101</v>
      </c>
      <c r="V47" s="8"/>
    </row>
    <row r="48" spans="1:25" x14ac:dyDescent="0.25">
      <c r="A48" s="2" t="s">
        <v>28</v>
      </c>
      <c r="B48" s="4">
        <v>1</v>
      </c>
      <c r="L48" s="9" t="s">
        <v>72</v>
      </c>
      <c r="M48" s="10">
        <v>4</v>
      </c>
      <c r="N48" s="8">
        <v>1.25</v>
      </c>
      <c r="O48" s="8">
        <f>N48*M48</f>
        <v>5</v>
      </c>
      <c r="P48" t="s">
        <v>79</v>
      </c>
      <c r="R48" s="8" t="s">
        <v>111</v>
      </c>
      <c r="S48" s="8">
        <v>1</v>
      </c>
      <c r="T48" s="8">
        <v>35</v>
      </c>
      <c r="U48" s="8">
        <f t="shared" ref="U48:U49" si="4">T48*S48</f>
        <v>35</v>
      </c>
      <c r="V48" s="8" t="s">
        <v>79</v>
      </c>
    </row>
    <row r="49" spans="1:25" x14ac:dyDescent="0.25">
      <c r="A49" s="2" t="s">
        <v>47</v>
      </c>
      <c r="B49" s="4">
        <v>24</v>
      </c>
      <c r="L49" s="9" t="s">
        <v>73</v>
      </c>
      <c r="M49" s="10">
        <v>1</v>
      </c>
      <c r="N49" s="8">
        <v>0.65</v>
      </c>
      <c r="O49" s="8">
        <f>N49*M49</f>
        <v>0.65</v>
      </c>
      <c r="P49" t="s">
        <v>79</v>
      </c>
      <c r="R49" s="8" t="s">
        <v>114</v>
      </c>
      <c r="S49" s="8">
        <v>5</v>
      </c>
      <c r="T49" s="8">
        <v>35</v>
      </c>
      <c r="U49" s="8">
        <f t="shared" si="4"/>
        <v>175</v>
      </c>
      <c r="V49" s="8" t="s">
        <v>79</v>
      </c>
    </row>
    <row r="50" spans="1:25" ht="15.75" thickBot="1" x14ac:dyDescent="0.3">
      <c r="A50" s="2" t="s">
        <v>48</v>
      </c>
      <c r="B50" s="4">
        <v>24</v>
      </c>
      <c r="L50" s="9" t="s">
        <v>63</v>
      </c>
      <c r="M50" s="10">
        <v>8</v>
      </c>
      <c r="N50" s="8">
        <v>1</v>
      </c>
      <c r="O50" s="8">
        <f>N50*M50</f>
        <v>8</v>
      </c>
      <c r="P50" t="s">
        <v>79</v>
      </c>
      <c r="U50" s="8">
        <f>SUM(U48:U49)</f>
        <v>210</v>
      </c>
      <c r="V50" s="8" t="s">
        <v>79</v>
      </c>
    </row>
    <row r="51" spans="1:25" x14ac:dyDescent="0.25">
      <c r="A51" s="2" t="s">
        <v>49</v>
      </c>
      <c r="B51" s="4">
        <v>29</v>
      </c>
      <c r="L51" s="9" t="s">
        <v>64</v>
      </c>
      <c r="M51" s="10">
        <v>4</v>
      </c>
      <c r="N51" s="8">
        <v>1</v>
      </c>
      <c r="O51" s="8">
        <f>N51*M51</f>
        <v>4</v>
      </c>
      <c r="P51" t="s">
        <v>79</v>
      </c>
      <c r="R51" s="19" t="s">
        <v>112</v>
      </c>
      <c r="S51" s="20"/>
      <c r="T51" s="20"/>
      <c r="U51" s="23"/>
      <c r="V51" s="24"/>
    </row>
    <row r="52" spans="1:25" x14ac:dyDescent="0.25">
      <c r="A52" s="2" t="s">
        <v>50</v>
      </c>
      <c r="B52" s="4">
        <v>4</v>
      </c>
      <c r="L52" s="9" t="s">
        <v>65</v>
      </c>
      <c r="M52" s="10">
        <v>35</v>
      </c>
      <c r="N52" s="8">
        <v>0.1</v>
      </c>
      <c r="O52" s="8">
        <f>N52*M52</f>
        <v>3.5</v>
      </c>
      <c r="P52" t="s">
        <v>79</v>
      </c>
      <c r="R52" s="22" t="s">
        <v>115</v>
      </c>
      <c r="S52" s="22"/>
      <c r="T52" s="22"/>
      <c r="U52" s="8">
        <v>1800</v>
      </c>
      <c r="V52" s="8" t="s">
        <v>79</v>
      </c>
    </row>
    <row r="53" spans="1:25" x14ac:dyDescent="0.25">
      <c r="L53" s="9" t="s">
        <v>66</v>
      </c>
      <c r="M53" s="10">
        <v>150</v>
      </c>
      <c r="N53" s="8">
        <v>0.1</v>
      </c>
      <c r="O53" s="8">
        <f>N53*M53</f>
        <v>15</v>
      </c>
      <c r="P53" t="s">
        <v>79</v>
      </c>
      <c r="R53" s="22" t="s">
        <v>117</v>
      </c>
      <c r="S53" s="22"/>
      <c r="T53" s="22"/>
      <c r="U53" s="8">
        <v>450</v>
      </c>
      <c r="V53" s="8" t="s">
        <v>79</v>
      </c>
    </row>
    <row r="54" spans="1:25" x14ac:dyDescent="0.25">
      <c r="A54" s="2" t="s">
        <v>51</v>
      </c>
      <c r="B54" s="4">
        <v>1</v>
      </c>
      <c r="L54" s="9" t="s">
        <v>69</v>
      </c>
      <c r="M54" s="10">
        <v>2</v>
      </c>
      <c r="N54" s="8">
        <v>1</v>
      </c>
      <c r="O54" s="8">
        <f>N54*M54</f>
        <v>2</v>
      </c>
      <c r="P54" t="s">
        <v>79</v>
      </c>
      <c r="R54" s="22" t="s">
        <v>116</v>
      </c>
      <c r="S54" s="22"/>
      <c r="T54" s="22"/>
      <c r="U54" s="8">
        <v>350</v>
      </c>
      <c r="V54" s="8" t="s">
        <v>79</v>
      </c>
    </row>
    <row r="55" spans="1:25" x14ac:dyDescent="0.25">
      <c r="A55" s="2" t="s">
        <v>52</v>
      </c>
      <c r="B55" s="4">
        <v>1</v>
      </c>
      <c r="L55" s="9" t="s">
        <v>68</v>
      </c>
      <c r="M55" s="10">
        <v>2</v>
      </c>
      <c r="N55" s="8">
        <v>2</v>
      </c>
      <c r="O55" s="8">
        <f>N55*M55</f>
        <v>4</v>
      </c>
      <c r="P55" t="s">
        <v>79</v>
      </c>
      <c r="R55" s="7"/>
      <c r="S55" s="7"/>
      <c r="T55" s="7"/>
      <c r="U55" s="8">
        <f>SUM(U52:U54)</f>
        <v>2600</v>
      </c>
      <c r="V55" s="8" t="s">
        <v>79</v>
      </c>
    </row>
    <row r="56" spans="1:25" x14ac:dyDescent="0.25">
      <c r="A56" s="2" t="s">
        <v>53</v>
      </c>
      <c r="B56" s="4">
        <v>2</v>
      </c>
      <c r="L56" s="9" t="s">
        <v>67</v>
      </c>
      <c r="M56" s="10">
        <v>4</v>
      </c>
      <c r="N56" s="8">
        <v>6</v>
      </c>
      <c r="O56" s="8">
        <f>N56*M56</f>
        <v>24</v>
      </c>
      <c r="P56" t="s">
        <v>79</v>
      </c>
    </row>
    <row r="57" spans="1:25" ht="15.75" thickBot="1" x14ac:dyDescent="0.3">
      <c r="A57" s="2" t="s">
        <v>54</v>
      </c>
      <c r="B57" s="4">
        <v>1</v>
      </c>
      <c r="L57" s="9" t="s">
        <v>70</v>
      </c>
      <c r="M57" s="10">
        <v>1</v>
      </c>
      <c r="N57" s="8">
        <v>15</v>
      </c>
      <c r="O57" s="8">
        <f>N57*M57</f>
        <v>15</v>
      </c>
      <c r="P57" t="s">
        <v>79</v>
      </c>
      <c r="Y57" s="17"/>
    </row>
    <row r="58" spans="1:25" ht="15.75" thickBot="1" x14ac:dyDescent="0.3">
      <c r="A58" s="2" t="s">
        <v>55</v>
      </c>
      <c r="B58" s="4">
        <v>1</v>
      </c>
      <c r="L58" s="18" t="s">
        <v>80</v>
      </c>
      <c r="M58" s="18"/>
      <c r="N58" s="18"/>
      <c r="O58" s="6">
        <f>SUM(O2:O57)</f>
        <v>865.08</v>
      </c>
      <c r="P58" t="s">
        <v>79</v>
      </c>
    </row>
    <row r="59" spans="1:25" x14ac:dyDescent="0.25">
      <c r="A59" s="2" t="s">
        <v>56</v>
      </c>
      <c r="B59" s="4">
        <v>1</v>
      </c>
    </row>
    <row r="60" spans="1:25" x14ac:dyDescent="0.25">
      <c r="A60" s="2" t="s">
        <v>57</v>
      </c>
      <c r="B60" s="4">
        <v>1</v>
      </c>
    </row>
    <row r="62" spans="1:25" x14ac:dyDescent="0.25">
      <c r="A62" s="2" t="s">
        <v>58</v>
      </c>
      <c r="B62" s="4">
        <v>1</v>
      </c>
    </row>
    <row r="63" spans="1:25" x14ac:dyDescent="0.25">
      <c r="A63" s="2" t="s">
        <v>59</v>
      </c>
      <c r="B63" s="4">
        <v>1</v>
      </c>
    </row>
    <row r="64" spans="1:25" x14ac:dyDescent="0.25">
      <c r="A64" s="2" t="s">
        <v>60</v>
      </c>
      <c r="B64" s="4">
        <v>1</v>
      </c>
    </row>
    <row r="65" spans="1:2" x14ac:dyDescent="0.25">
      <c r="A65" s="2" t="s">
        <v>61</v>
      </c>
      <c r="B65" s="4">
        <v>1</v>
      </c>
    </row>
    <row r="66" spans="1:2" x14ac:dyDescent="0.25">
      <c r="A66" s="2" t="s">
        <v>62</v>
      </c>
      <c r="B66" s="4">
        <v>4</v>
      </c>
    </row>
    <row r="67" spans="1:2" x14ac:dyDescent="0.25">
      <c r="A67" s="2" t="s">
        <v>72</v>
      </c>
      <c r="B67" s="4">
        <v>4</v>
      </c>
    </row>
    <row r="68" spans="1:2" x14ac:dyDescent="0.25">
      <c r="A68" s="2" t="s">
        <v>73</v>
      </c>
      <c r="B68" s="4">
        <v>1</v>
      </c>
    </row>
    <row r="69" spans="1:2" x14ac:dyDescent="0.25">
      <c r="A69" s="2" t="s">
        <v>63</v>
      </c>
      <c r="B69" s="4">
        <v>8</v>
      </c>
    </row>
    <row r="70" spans="1:2" x14ac:dyDescent="0.25">
      <c r="A70" s="2" t="s">
        <v>64</v>
      </c>
      <c r="B70" s="4">
        <v>4</v>
      </c>
    </row>
    <row r="71" spans="1:2" x14ac:dyDescent="0.25">
      <c r="A71" s="2" t="s">
        <v>65</v>
      </c>
      <c r="B71" s="4">
        <v>35</v>
      </c>
    </row>
    <row r="72" spans="1:2" x14ac:dyDescent="0.25">
      <c r="A72" s="2" t="s">
        <v>66</v>
      </c>
      <c r="B72" s="4">
        <v>150</v>
      </c>
    </row>
    <row r="73" spans="1:2" x14ac:dyDescent="0.25">
      <c r="A73" s="2" t="s">
        <v>69</v>
      </c>
      <c r="B73" s="4">
        <v>2</v>
      </c>
    </row>
    <row r="74" spans="1:2" x14ac:dyDescent="0.25">
      <c r="A74" s="2" t="s">
        <v>68</v>
      </c>
      <c r="B74" s="4">
        <v>2</v>
      </c>
    </row>
    <row r="75" spans="1:2" x14ac:dyDescent="0.25">
      <c r="A75" s="2" t="s">
        <v>67</v>
      </c>
      <c r="B75" s="4">
        <v>4</v>
      </c>
    </row>
    <row r="76" spans="1:2" x14ac:dyDescent="0.25">
      <c r="A76" s="2" t="s">
        <v>70</v>
      </c>
      <c r="B76" s="4">
        <v>1</v>
      </c>
    </row>
  </sheetData>
  <mergeCells count="9">
    <mergeCell ref="R53:T53"/>
    <mergeCell ref="R54:T54"/>
    <mergeCell ref="R51:V51"/>
    <mergeCell ref="L58:N58"/>
    <mergeCell ref="R52:T52"/>
    <mergeCell ref="R27:V27"/>
    <mergeCell ref="R35:V35"/>
    <mergeCell ref="R46:V46"/>
    <mergeCell ref="R41:V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</dc:creator>
  <cp:lastModifiedBy>mert</cp:lastModifiedBy>
  <dcterms:created xsi:type="dcterms:W3CDTF">2020-06-06T10:20:17Z</dcterms:created>
  <dcterms:modified xsi:type="dcterms:W3CDTF">2020-06-06T15:41:33Z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</Properties>
</file>