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bun rapor\"/>
    </mc:Choice>
  </mc:AlternateContent>
  <xr:revisionPtr revIDLastSave="0" documentId="8_{8AE6CDB9-3E51-44DB-B1A7-409C0A0DD2B2}" xr6:coauthVersionLast="45" xr6:coauthVersionMax="45" xr10:uidLastSave="{00000000-0000-0000-0000-000000000000}"/>
  <bookViews>
    <workbookView xWindow="3000" yWindow="1005" windowWidth="27720" windowHeight="11805" xr2:uid="{E04D554D-B6AA-4762-ADCE-DF5E8AB70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4" i="1" l="1"/>
  <c r="D89" i="1" l="1"/>
  <c r="D107" i="1"/>
  <c r="D106" i="1"/>
  <c r="D108" i="1" s="1"/>
  <c r="D102" i="1"/>
  <c r="D101" i="1"/>
  <c r="D97" i="1"/>
  <c r="D96" i="1"/>
  <c r="D95" i="1"/>
  <c r="D94" i="1"/>
  <c r="D93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C27" i="1"/>
  <c r="D27" i="1" s="1"/>
  <c r="C26" i="1"/>
  <c r="D26" i="1" s="1"/>
  <c r="D25" i="1"/>
  <c r="D24" i="1"/>
  <c r="D23" i="1"/>
  <c r="D22" i="1"/>
  <c r="D21" i="1"/>
  <c r="D20" i="1"/>
  <c r="D19" i="1"/>
  <c r="D18" i="1"/>
  <c r="D17" i="1"/>
  <c r="D16" i="1"/>
  <c r="D15" i="1"/>
  <c r="C14" i="1"/>
  <c r="D14" i="1" s="1"/>
  <c r="D13" i="1"/>
  <c r="D12" i="1"/>
  <c r="D11" i="1"/>
  <c r="C10" i="1"/>
  <c r="D10" i="1" s="1"/>
  <c r="C9" i="1"/>
  <c r="D9" i="1" s="1"/>
  <c r="D8" i="1"/>
  <c r="C7" i="1"/>
  <c r="D7" i="1" s="1"/>
  <c r="D6" i="1"/>
  <c r="D5" i="1"/>
  <c r="Y39" i="1"/>
  <c r="Y33" i="1"/>
  <c r="Y32" i="1"/>
  <c r="Y28" i="1"/>
  <c r="Y27" i="1"/>
  <c r="Y23" i="1"/>
  <c r="Y22" i="1"/>
  <c r="Y21" i="1"/>
  <c r="Y17" i="1"/>
  <c r="Y16" i="1"/>
  <c r="Y15" i="1"/>
  <c r="Y14" i="1"/>
  <c r="Y13" i="1"/>
  <c r="D98" i="1" l="1"/>
  <c r="D103" i="1"/>
  <c r="D117" i="1" s="1"/>
  <c r="Y34" i="1"/>
  <c r="D61" i="1"/>
  <c r="D116" i="1" s="1"/>
  <c r="Y29" i="1"/>
  <c r="Y18" i="1"/>
  <c r="Y24" i="1"/>
  <c r="D118" i="1" l="1"/>
</calcChain>
</file>

<file path=xl/sharedStrings.xml><?xml version="1.0" encoding="utf-8"?>
<sst xmlns="http://schemas.openxmlformats.org/spreadsheetml/2006/main" count="274" uniqueCount="139">
  <si>
    <t>Tasarim maliyeti</t>
  </si>
  <si>
    <t>Tanim</t>
  </si>
  <si>
    <t>iscilik saati</t>
  </si>
  <si>
    <t>birim maliyet</t>
  </si>
  <si>
    <t>TOPLAM MALIYET</t>
  </si>
  <si>
    <t>Mekanik Tasarim isciligi</t>
  </si>
  <si>
    <t>TL</t>
  </si>
  <si>
    <t>elektronik&amp;yazilim tasarimi</t>
  </si>
  <si>
    <t>Testler dizayni calismalari</t>
  </si>
  <si>
    <t>gelistirme testleri</t>
  </si>
  <si>
    <t>teknik resimler</t>
  </si>
  <si>
    <t>Kalite Maliyeti</t>
  </si>
  <si>
    <t>Millerin cap olcumu/fit testleri</t>
  </si>
  <si>
    <t>uretilen parcalarin mastarla testi</t>
  </si>
  <si>
    <t>Gereksinim dogrulama testleri</t>
  </si>
  <si>
    <t>Montaj Isciligi Maliyeti</t>
  </si>
  <si>
    <t>Montaj calismalari</t>
  </si>
  <si>
    <t>elektronik kart dizimi</t>
  </si>
  <si>
    <t>Uretici yatirim maliyetleri</t>
  </si>
  <si>
    <t>CNC</t>
  </si>
  <si>
    <t>CNC Enclosure/Isolation</t>
  </si>
  <si>
    <t>CNC milling/Drilling bits</t>
  </si>
  <si>
    <t xml:space="preserve">        mpu6050</t>
  </si>
  <si>
    <t xml:space="preserve">        4mm_shaft</t>
  </si>
  <si>
    <t xml:space="preserve">        plexyBase</t>
  </si>
  <si>
    <t xml:space="preserve">        4mm_shaft_50mm</t>
  </si>
  <si>
    <t xml:space="preserve">        4mm_shaft_100mm</t>
  </si>
  <si>
    <t xml:space="preserve">        35mm_cekmePimi</t>
  </si>
  <si>
    <t xml:space="preserve">        coupling8_5</t>
  </si>
  <si>
    <t xml:space="preserve">        TrapexMil</t>
  </si>
  <si>
    <t xml:space="preserve">        4mm_shaft_80mm</t>
  </si>
  <si>
    <t xml:space="preserve">        NEMA_17_STEPPER_34mm</t>
  </si>
  <si>
    <t xml:space="preserve">    plexyBase_Alt</t>
  </si>
  <si>
    <t xml:space="preserve">    pcbKart_8x6</t>
  </si>
  <si>
    <t xml:space="preserve">    pcbKart_3x7</t>
  </si>
  <si>
    <t xml:space="preserve">    pcbKart_2x8</t>
  </si>
  <si>
    <t xml:space="preserve">    POS5 MAFSAL</t>
  </si>
  <si>
    <t xml:space="preserve">    A4988 RED_stepper driver</t>
  </si>
  <si>
    <t xml:space="preserve">    ATMega328</t>
  </si>
  <si>
    <t>tabla</t>
  </si>
  <si>
    <t>tablaCNCfixture 200x200x30 ahsap</t>
  </si>
  <si>
    <t xml:space="preserve">        Shf 8</t>
  </si>
  <si>
    <t xml:space="preserve">        4mm_shaft_USTRAY</t>
  </si>
  <si>
    <t xml:space="preserve">        4mm_shaft_110 </t>
  </si>
  <si>
    <t xml:space="preserve">        GT2_16 Teeth Pulley.</t>
  </si>
  <si>
    <t xml:space="preserve">        8MM_ust_MIL</t>
  </si>
  <si>
    <t xml:space="preserve">        NEMA11_stepper</t>
  </si>
  <si>
    <t xml:space="preserve">        RULMAN_ic_custom</t>
  </si>
  <si>
    <t xml:space="preserve">        GT2_200mm_kapaliKayis</t>
  </si>
  <si>
    <t xml:space="preserve">        Hex Nut, 1A, DIN,M4x0_7   316</t>
  </si>
  <si>
    <t xml:space="preserve">    DISPLAY_SUBBASS</t>
  </si>
  <si>
    <t xml:space="preserve">    Hex Socket C-sunk Head Screw, DIN,M4x16</t>
  </si>
  <si>
    <t xml:space="preserve">    Hex Socket Head Cap Screw, AM,M3x0.5x8</t>
  </si>
  <si>
    <t xml:space="preserve">    Hex Nut, 1A, DIN,M3x0_5</t>
  </si>
  <si>
    <t xml:space="preserve">    Hex Socket Head Cap Screw, AM,M2.5x0.5x10</t>
  </si>
  <si>
    <t>4digit 7 segment display module</t>
  </si>
  <si>
    <t>on/OFF switch</t>
  </si>
  <si>
    <t>nrf24l01</t>
  </si>
  <si>
    <t>Arduino Nano</t>
  </si>
  <si>
    <t>3.7v lithium Battery</t>
  </si>
  <si>
    <t>step up convertor</t>
  </si>
  <si>
    <t>Joystick module</t>
  </si>
  <si>
    <t>2.1mm DC female Jack</t>
  </si>
  <si>
    <t>3.3v Stepdown regulator</t>
  </si>
  <si>
    <t>5v Stepdown regulator</t>
  </si>
  <si>
    <t>big fin</t>
  </si>
  <si>
    <t>small fin</t>
  </si>
  <si>
    <t>2.2uF elektrolit CAP</t>
  </si>
  <si>
    <t>1000UF elektrolit cap</t>
  </si>
  <si>
    <t>22nf ceramic cap</t>
  </si>
  <si>
    <t>16mgz quarts cristal oscilator</t>
  </si>
  <si>
    <t>male header</t>
  </si>
  <si>
    <t>female header</t>
  </si>
  <si>
    <t>2pin cable</t>
  </si>
  <si>
    <t xml:space="preserve">3 pin cable </t>
  </si>
  <si>
    <t>5pin cable</t>
  </si>
  <si>
    <t>12v 1.5amp DC POWER SUPLY</t>
  </si>
  <si>
    <t>TOTAL COST</t>
  </si>
  <si>
    <t>Description</t>
  </si>
  <si>
    <t>###</t>
  </si>
  <si>
    <t>Unit Cost</t>
  </si>
  <si>
    <t>Total Cost</t>
  </si>
  <si>
    <t>Component costs</t>
  </si>
  <si>
    <t>3D Printed parts</t>
  </si>
  <si>
    <t xml:space="preserve">            MPU_ArkaBlokprt x 2</t>
  </si>
  <si>
    <t xml:space="preserve">        mentese</t>
  </si>
  <si>
    <t xml:space="preserve">        4mmShaft_fixer x 2</t>
  </si>
  <si>
    <t xml:space="preserve">        4mmShaft_fixer_Rev2 x 2</t>
  </si>
  <si>
    <t xml:space="preserve">        Alt_pim_ADAPTOR</t>
  </si>
  <si>
    <t xml:space="preserve">        Alt_pim_ADAPTOR_mirror</t>
  </si>
  <si>
    <t xml:space="preserve">        yeni_taban_MIRROR</t>
  </si>
  <si>
    <t xml:space="preserve">        yeni_taban</t>
  </si>
  <si>
    <t xml:space="preserve">        motorShaftHolder</t>
  </si>
  <si>
    <t xml:space="preserve">        TrapexMilSOMUN</t>
  </si>
  <si>
    <t xml:space="preserve">    base_Kose_parca</t>
  </si>
  <si>
    <t xml:space="preserve">        sliderTutucu</t>
  </si>
  <si>
    <t xml:space="preserve">        baglantiMillerArasiUst</t>
  </si>
  <si>
    <t xml:space="preserve">        GT2_80Tooth_customPulley</t>
  </si>
  <si>
    <t xml:space="preserve">        nema11_ust_adaptor</t>
  </si>
  <si>
    <t>TOTAL PRINT TIME</t>
  </si>
  <si>
    <t>h</t>
  </si>
  <si>
    <t>Part Name</t>
  </si>
  <si>
    <t>operations</t>
  </si>
  <si>
    <t>machiningTime</t>
  </si>
  <si>
    <t>unitCost(tl/h)</t>
  </si>
  <si>
    <t>cost</t>
  </si>
  <si>
    <t>tablaCNCfixture</t>
  </si>
  <si>
    <t>drilling&amp;Milling</t>
  </si>
  <si>
    <t>2h</t>
  </si>
  <si>
    <t>Tabla</t>
  </si>
  <si>
    <t>1h</t>
  </si>
  <si>
    <t>plexyBase</t>
  </si>
  <si>
    <t>0.5h</t>
  </si>
  <si>
    <t>plexyBase_alt</t>
  </si>
  <si>
    <t>drilling</t>
  </si>
  <si>
    <t>6min</t>
  </si>
  <si>
    <t>MACHINED PARTS</t>
  </si>
  <si>
    <t xml:space="preserve">        8_digit_7_segment v7 </t>
  </si>
  <si>
    <t>Cost/time</t>
  </si>
  <si>
    <t>man hours</t>
  </si>
  <si>
    <t>quality management costs</t>
  </si>
  <si>
    <t>Design&amp;development Costs</t>
  </si>
  <si>
    <t>Manufacturer investment costs</t>
  </si>
  <si>
    <t>Total cost without Labor</t>
  </si>
  <si>
    <t>TOTAL Labor Cost</t>
  </si>
  <si>
    <t>COST&amp;PROJECT BUDGET</t>
  </si>
  <si>
    <t>SOLDERING STATION&amp;HEAT GUN</t>
  </si>
  <si>
    <t>Assembly Costs</t>
  </si>
  <si>
    <t>Mechanical assembly</t>
  </si>
  <si>
    <t>Circuit Soldering&amp;testing</t>
  </si>
  <si>
    <t>Qualification tests</t>
  </si>
  <si>
    <t>dimensional testing of the parts&amp;fits</t>
  </si>
  <si>
    <t>Technical drawings</t>
  </si>
  <si>
    <t>Project development tests</t>
  </si>
  <si>
    <t>Test design</t>
  </si>
  <si>
    <t>Electronics&amp;software design</t>
  </si>
  <si>
    <t xml:space="preserve">mechanical design </t>
  </si>
  <si>
    <t># of items</t>
  </si>
  <si>
    <t>CNC router build+mods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</si>
</sst>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8" xfId="0" applyBorder="1"/>
    <xf numFmtId="49" fontId="0" fillId="0" borderId="3" xfId="0" applyNumberFormat="1" applyBorder="1"/>
    <xf numFmtId="1" fontId="0" fillId="0" borderId="3" xfId="0" applyNumberFormat="1" applyBorder="1"/>
    <xf numFmtId="0" fontId="0" fillId="3" borderId="3" xfId="0" applyFill="1" applyBorder="1"/>
    <xf numFmtId="1" fontId="0" fillId="0" borderId="0" xfId="0" applyNumberFormat="1"/>
    <xf numFmtId="164" fontId="0" fillId="0" borderId="3" xfId="0" applyNumberFormat="1" applyBorder="1"/>
    <xf numFmtId="164" fontId="0" fillId="0" borderId="0" xfId="0" applyNumberFormat="1"/>
    <xf numFmtId="49" fontId="0" fillId="0" borderId="8" xfId="0" applyNumberFormat="1" applyBorder="1"/>
    <xf numFmtId="1" fontId="0" fillId="0" borderId="8" xfId="0" applyNumberFormat="1" applyBorder="1"/>
    <xf numFmtId="164" fontId="0" fillId="0" borderId="8" xfId="0" applyNumberFormat="1" applyBorder="1"/>
    <xf numFmtId="0" fontId="0" fillId="3" borderId="4" xfId="0" applyFill="1" applyBorder="1" applyAlignment="1"/>
    <xf numFmtId="164" fontId="0" fillId="3" borderId="4" xfId="0" applyNumberFormat="1" applyFill="1" applyBorder="1" applyAlignment="1"/>
    <xf numFmtId="1" fontId="0" fillId="3" borderId="4" xfId="0" applyNumberFormat="1" applyFill="1" applyBorder="1" applyAlignment="1"/>
    <xf numFmtId="1" fontId="0" fillId="4" borderId="3" xfId="0" applyNumberFormat="1" applyFill="1" applyBorder="1"/>
    <xf numFmtId="0" fontId="0" fillId="4" borderId="3" xfId="0" applyFill="1" applyBorder="1"/>
    <xf numFmtId="0" fontId="0" fillId="6" borderId="3" xfId="0" applyFill="1" applyBorder="1"/>
    <xf numFmtId="0" fontId="0" fillId="3" borderId="14" xfId="0" applyFill="1" applyBorder="1"/>
    <xf numFmtId="49" fontId="0" fillId="6" borderId="0" xfId="0" applyNumberFormat="1" applyFill="1" applyBorder="1" applyAlignment="1">
      <alignment horizontal="center"/>
    </xf>
    <xf numFmtId="1" fontId="0" fillId="6" borderId="3" xfId="0" applyNumberFormat="1" applyFill="1" applyBorder="1" applyAlignment="1"/>
    <xf numFmtId="1" fontId="0" fillId="6" borderId="9" xfId="0" applyNumberFormat="1" applyFill="1" applyBorder="1" applyAlignment="1"/>
    <xf numFmtId="1" fontId="0" fillId="4" borderId="16" xfId="0" applyNumberFormat="1" applyFill="1" applyBorder="1" applyAlignment="1"/>
    <xf numFmtId="0" fontId="0" fillId="4" borderId="3" xfId="0" applyFill="1" applyBorder="1" applyAlignment="1"/>
    <xf numFmtId="0" fontId="0" fillId="4" borderId="8" xfId="0" applyFill="1" applyBorder="1"/>
    <xf numFmtId="0" fontId="0" fillId="9" borderId="0" xfId="0" applyFill="1"/>
    <xf numFmtId="164" fontId="0" fillId="9" borderId="0" xfId="0" applyNumberFormat="1" applyFill="1"/>
    <xf numFmtId="1" fontId="0" fillId="9" borderId="0" xfId="0" applyNumberFormat="1" applyFill="1"/>
    <xf numFmtId="0" fontId="3" fillId="0" borderId="0" xfId="0" applyFont="1" applyAlignment="1"/>
    <xf numFmtId="0" fontId="0" fillId="3" borderId="4" xfId="0" applyFill="1" applyBorder="1"/>
    <xf numFmtId="1" fontId="2" fillId="10" borderId="3" xfId="0" applyNumberFormat="1" applyFont="1" applyFill="1" applyBorder="1"/>
    <xf numFmtId="164" fontId="2" fillId="10" borderId="3" xfId="0" applyNumberFormat="1" applyFont="1" applyFill="1" applyBorder="1"/>
    <xf numFmtId="0" fontId="2" fillId="10" borderId="3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6" borderId="9" xfId="0" applyNumberFormat="1" applyFill="1" applyBorder="1" applyAlignment="1">
      <alignment horizontal="center"/>
    </xf>
    <xf numFmtId="49" fontId="0" fillId="6" borderId="15" xfId="0" applyNumberFormat="1" applyFill="1" applyBorder="1" applyAlignment="1">
      <alignment horizontal="center"/>
    </xf>
    <xf numFmtId="49" fontId="0" fillId="6" borderId="10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11" xfId="0" applyNumberFormat="1" applyFill="1" applyBorder="1" applyAlignment="1">
      <alignment horizontal="center"/>
    </xf>
    <xf numFmtId="49" fontId="0" fillId="6" borderId="12" xfId="0" applyNumberForma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FED5-124C-41CA-9DBE-87C48812A2D5}">
  <dimension ref="A1:Z118"/>
  <sheetViews>
    <sheetView tabSelected="1" topLeftCell="A100" workbookViewId="0">
      <selection activeCell="I111" sqref="I111"/>
    </sheetView>
  </sheetViews>
  <sheetFormatPr defaultRowHeight="15" x14ac:dyDescent="0.25"/>
  <cols>
    <col min="1" max="1" width="41.5703125" customWidth="1"/>
    <col min="2" max="2" width="14.85546875" customWidth="1"/>
    <col min="3" max="3" width="12.42578125" style="9" customWidth="1"/>
    <col min="4" max="4" width="13.140625" style="7" customWidth="1"/>
    <col min="6" max="6" width="9.28515625" customWidth="1"/>
  </cols>
  <sheetData>
    <row r="1" spans="1:26" ht="18.75" customHeight="1" x14ac:dyDescent="0.25">
      <c r="A1" s="34" t="s">
        <v>125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26" ht="15.75" thickBo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26" ht="15.75" thickBot="1" x14ac:dyDescent="0.3">
      <c r="A3" s="41" t="s">
        <v>82</v>
      </c>
      <c r="B3" s="42"/>
      <c r="C3" s="42"/>
      <c r="D3" s="42"/>
      <c r="E3" s="42"/>
      <c r="F3" s="43"/>
    </row>
    <row r="4" spans="1:26" x14ac:dyDescent="0.25">
      <c r="A4" s="13" t="s">
        <v>78</v>
      </c>
      <c r="B4" s="13" t="s">
        <v>79</v>
      </c>
      <c r="C4" s="14" t="s">
        <v>80</v>
      </c>
      <c r="D4" s="15" t="s">
        <v>81</v>
      </c>
    </row>
    <row r="5" spans="1:26" x14ac:dyDescent="0.25">
      <c r="A5" s="4" t="s">
        <v>22</v>
      </c>
      <c r="B5" s="5">
        <v>2</v>
      </c>
      <c r="C5" s="8">
        <v>10</v>
      </c>
      <c r="D5" s="5">
        <f>C5*B5</f>
        <v>20</v>
      </c>
      <c r="E5" s="1" t="s">
        <v>6</v>
      </c>
    </row>
    <row r="6" spans="1:26" x14ac:dyDescent="0.25">
      <c r="A6" s="4" t="s">
        <v>117</v>
      </c>
      <c r="B6" s="5">
        <v>1</v>
      </c>
      <c r="C6" s="8">
        <v>12</v>
      </c>
      <c r="D6" s="5">
        <f t="shared" ref="D6:D24" si="0">C6*B6</f>
        <v>12</v>
      </c>
      <c r="E6" s="1" t="s">
        <v>6</v>
      </c>
    </row>
    <row r="7" spans="1:26" x14ac:dyDescent="0.25">
      <c r="A7" s="4" t="s">
        <v>23</v>
      </c>
      <c r="B7" s="5">
        <v>1</v>
      </c>
      <c r="C7" s="8">
        <f>15/9</f>
        <v>1.6666666666666667</v>
      </c>
      <c r="D7" s="5">
        <f t="shared" si="0"/>
        <v>1.6666666666666667</v>
      </c>
      <c r="E7" s="1" t="s">
        <v>6</v>
      </c>
    </row>
    <row r="8" spans="1:26" x14ac:dyDescent="0.25">
      <c r="A8" s="4" t="s">
        <v>24</v>
      </c>
      <c r="B8" s="5">
        <v>1</v>
      </c>
      <c r="C8" s="8">
        <v>15</v>
      </c>
      <c r="D8" s="5">
        <f t="shared" si="0"/>
        <v>15</v>
      </c>
      <c r="E8" s="1" t="s">
        <v>6</v>
      </c>
    </row>
    <row r="9" spans="1:26" x14ac:dyDescent="0.25">
      <c r="A9" s="4" t="s">
        <v>25</v>
      </c>
      <c r="B9" s="5">
        <v>1</v>
      </c>
      <c r="C9" s="8">
        <f>15/20</f>
        <v>0.75</v>
      </c>
      <c r="D9" s="5">
        <f t="shared" si="0"/>
        <v>0.75</v>
      </c>
      <c r="E9" s="1" t="s">
        <v>6</v>
      </c>
    </row>
    <row r="10" spans="1:26" ht="15.75" thickBot="1" x14ac:dyDescent="0.3">
      <c r="A10" s="4" t="s">
        <v>26</v>
      </c>
      <c r="B10" s="5">
        <v>4</v>
      </c>
      <c r="C10" s="8">
        <f>15/10</f>
        <v>1.5</v>
      </c>
      <c r="D10" s="5">
        <f t="shared" si="0"/>
        <v>6</v>
      </c>
      <c r="E10" s="1" t="s">
        <v>6</v>
      </c>
    </row>
    <row r="11" spans="1:26" ht="15.75" thickBot="1" x14ac:dyDescent="0.3">
      <c r="A11" s="4" t="s">
        <v>27</v>
      </c>
      <c r="B11" s="5">
        <v>4</v>
      </c>
      <c r="C11" s="8">
        <v>1.5</v>
      </c>
      <c r="D11" s="5">
        <f t="shared" si="0"/>
        <v>6</v>
      </c>
      <c r="E11" s="1" t="s">
        <v>6</v>
      </c>
      <c r="V11" s="35" t="s">
        <v>0</v>
      </c>
      <c r="W11" s="36"/>
      <c r="X11" s="36"/>
      <c r="Y11" s="36"/>
      <c r="Z11" s="37"/>
    </row>
    <row r="12" spans="1:26" x14ac:dyDescent="0.25">
      <c r="A12" s="4" t="s">
        <v>28</v>
      </c>
      <c r="B12" s="5">
        <v>2</v>
      </c>
      <c r="C12" s="8">
        <v>11</v>
      </c>
      <c r="D12" s="5">
        <f t="shared" si="0"/>
        <v>22</v>
      </c>
      <c r="E12" s="1" t="s">
        <v>6</v>
      </c>
      <c r="V12" s="2" t="s">
        <v>1</v>
      </c>
      <c r="W12" s="2" t="s">
        <v>2</v>
      </c>
      <c r="X12" s="2" t="s">
        <v>3</v>
      </c>
      <c r="Y12" s="2" t="s">
        <v>4</v>
      </c>
      <c r="Z12" s="2"/>
    </row>
    <row r="13" spans="1:26" x14ac:dyDescent="0.25">
      <c r="A13" s="4" t="s">
        <v>29</v>
      </c>
      <c r="B13" s="5">
        <v>2</v>
      </c>
      <c r="C13" s="8">
        <v>20</v>
      </c>
      <c r="D13" s="5">
        <f t="shared" si="0"/>
        <v>40</v>
      </c>
      <c r="E13" s="1" t="s">
        <v>6</v>
      </c>
      <c r="V13" s="1" t="s">
        <v>5</v>
      </c>
      <c r="W13" s="1">
        <v>150</v>
      </c>
      <c r="X13" s="1">
        <v>35</v>
      </c>
      <c r="Y13" s="1">
        <f>X13*W13</f>
        <v>5250</v>
      </c>
      <c r="Z13" s="1" t="s">
        <v>6</v>
      </c>
    </row>
    <row r="14" spans="1:26" x14ac:dyDescent="0.25">
      <c r="A14" s="4" t="s">
        <v>30</v>
      </c>
      <c r="B14" s="5">
        <v>2</v>
      </c>
      <c r="C14" s="8">
        <f>15/12</f>
        <v>1.25</v>
      </c>
      <c r="D14" s="5">
        <f t="shared" si="0"/>
        <v>2.5</v>
      </c>
      <c r="E14" s="1" t="s">
        <v>6</v>
      </c>
      <c r="V14" s="1" t="s">
        <v>7</v>
      </c>
      <c r="W14" s="1">
        <v>100</v>
      </c>
      <c r="X14" s="1">
        <v>35</v>
      </c>
      <c r="Y14" s="1">
        <f t="shared" ref="Y14:Y17" si="1">X14*W14</f>
        <v>3500</v>
      </c>
      <c r="Z14" s="1" t="s">
        <v>6</v>
      </c>
    </row>
    <row r="15" spans="1:26" x14ac:dyDescent="0.25">
      <c r="A15" s="4" t="s">
        <v>31</v>
      </c>
      <c r="B15" s="5">
        <v>2</v>
      </c>
      <c r="C15" s="8">
        <v>65</v>
      </c>
      <c r="D15" s="5">
        <f t="shared" si="0"/>
        <v>130</v>
      </c>
      <c r="E15" s="1" t="s">
        <v>6</v>
      </c>
      <c r="V15" s="1" t="s">
        <v>8</v>
      </c>
      <c r="W15" s="1">
        <v>5</v>
      </c>
      <c r="X15" s="1">
        <v>35</v>
      </c>
      <c r="Y15" s="1">
        <f t="shared" si="1"/>
        <v>175</v>
      </c>
      <c r="Z15" s="1" t="s">
        <v>6</v>
      </c>
    </row>
    <row r="16" spans="1:26" x14ac:dyDescent="0.25">
      <c r="A16" s="4" t="s">
        <v>32</v>
      </c>
      <c r="B16" s="5">
        <v>1</v>
      </c>
      <c r="C16" s="8">
        <v>10</v>
      </c>
      <c r="D16" s="5">
        <f t="shared" si="0"/>
        <v>10</v>
      </c>
      <c r="E16" s="1" t="s">
        <v>6</v>
      </c>
      <c r="V16" s="1" t="s">
        <v>9</v>
      </c>
      <c r="W16" s="1">
        <v>5</v>
      </c>
      <c r="X16" s="1">
        <v>35</v>
      </c>
      <c r="Y16" s="1">
        <f t="shared" si="1"/>
        <v>175</v>
      </c>
      <c r="Z16" s="1" t="s">
        <v>6</v>
      </c>
    </row>
    <row r="17" spans="1:26" x14ac:dyDescent="0.25">
      <c r="A17" s="4" t="s">
        <v>33</v>
      </c>
      <c r="B17" s="5">
        <v>2</v>
      </c>
      <c r="C17" s="8">
        <v>4</v>
      </c>
      <c r="D17" s="5">
        <f t="shared" si="0"/>
        <v>8</v>
      </c>
      <c r="E17" s="1" t="s">
        <v>6</v>
      </c>
      <c r="V17" s="1" t="s">
        <v>10</v>
      </c>
      <c r="W17" s="1">
        <v>2</v>
      </c>
      <c r="X17" s="1">
        <v>35</v>
      </c>
      <c r="Y17" s="1">
        <f t="shared" si="1"/>
        <v>70</v>
      </c>
      <c r="Z17" s="1" t="s">
        <v>6</v>
      </c>
    </row>
    <row r="18" spans="1:26" ht="15.75" thickBot="1" x14ac:dyDescent="0.3">
      <c r="A18" s="4" t="s">
        <v>34</v>
      </c>
      <c r="B18" s="5">
        <v>1</v>
      </c>
      <c r="C18" s="8">
        <v>3</v>
      </c>
      <c r="D18" s="5">
        <f t="shared" si="0"/>
        <v>3</v>
      </c>
      <c r="E18" s="1" t="s">
        <v>6</v>
      </c>
      <c r="Y18" s="3">
        <f>SUM(Y13:Y17)</f>
        <v>9170</v>
      </c>
      <c r="Z18" s="3" t="s">
        <v>6</v>
      </c>
    </row>
    <row r="19" spans="1:26" ht="15.75" thickBot="1" x14ac:dyDescent="0.3">
      <c r="A19" s="4" t="s">
        <v>35</v>
      </c>
      <c r="B19" s="5">
        <v>1</v>
      </c>
      <c r="C19" s="8">
        <v>2.5</v>
      </c>
      <c r="D19" s="5">
        <f t="shared" si="0"/>
        <v>2.5</v>
      </c>
      <c r="E19" s="1" t="s">
        <v>6</v>
      </c>
      <c r="V19" s="38" t="s">
        <v>11</v>
      </c>
      <c r="W19" s="39"/>
      <c r="X19" s="39"/>
      <c r="Y19" s="39"/>
      <c r="Z19" s="40"/>
    </row>
    <row r="20" spans="1:26" x14ac:dyDescent="0.25">
      <c r="A20" s="4" t="s">
        <v>36</v>
      </c>
      <c r="B20" s="5">
        <v>2</v>
      </c>
      <c r="C20" s="8">
        <v>10</v>
      </c>
      <c r="D20" s="5">
        <f t="shared" si="0"/>
        <v>20</v>
      </c>
      <c r="E20" s="1" t="s">
        <v>6</v>
      </c>
      <c r="V20" s="2" t="s">
        <v>1</v>
      </c>
      <c r="W20" s="2" t="s">
        <v>2</v>
      </c>
      <c r="X20" s="2" t="s">
        <v>3</v>
      </c>
      <c r="Y20" s="2" t="s">
        <v>4</v>
      </c>
      <c r="Z20" s="2"/>
    </row>
    <row r="21" spans="1:26" x14ac:dyDescent="0.25">
      <c r="A21" s="4" t="s">
        <v>37</v>
      </c>
      <c r="B21" s="5">
        <v>3</v>
      </c>
      <c r="C21" s="8">
        <v>9</v>
      </c>
      <c r="D21" s="5">
        <f t="shared" si="0"/>
        <v>27</v>
      </c>
      <c r="E21" s="1" t="s">
        <v>6</v>
      </c>
      <c r="V21" s="1" t="s">
        <v>12</v>
      </c>
      <c r="W21" s="1">
        <v>1</v>
      </c>
      <c r="X21" s="1">
        <v>35</v>
      </c>
      <c r="Y21" s="1">
        <f t="shared" ref="Y21:Y23" si="2">X21*W21</f>
        <v>35</v>
      </c>
      <c r="Z21" s="1" t="s">
        <v>6</v>
      </c>
    </row>
    <row r="22" spans="1:26" x14ac:dyDescent="0.25">
      <c r="A22" s="4" t="s">
        <v>38</v>
      </c>
      <c r="B22" s="5">
        <v>4</v>
      </c>
      <c r="C22" s="8">
        <v>20</v>
      </c>
      <c r="D22" s="5">
        <f t="shared" si="0"/>
        <v>80</v>
      </c>
      <c r="E22" s="1" t="s">
        <v>6</v>
      </c>
      <c r="V22" s="1" t="s">
        <v>13</v>
      </c>
      <c r="W22" s="1">
        <v>1</v>
      </c>
      <c r="X22" s="1">
        <v>35</v>
      </c>
      <c r="Y22" s="1">
        <f t="shared" si="2"/>
        <v>35</v>
      </c>
      <c r="Z22" s="1" t="s">
        <v>6</v>
      </c>
    </row>
    <row r="23" spans="1:26" x14ac:dyDescent="0.25">
      <c r="A23" s="4" t="s">
        <v>39</v>
      </c>
      <c r="B23" s="5">
        <v>1</v>
      </c>
      <c r="C23" s="8">
        <v>4</v>
      </c>
      <c r="D23" s="5">
        <f t="shared" si="0"/>
        <v>4</v>
      </c>
      <c r="E23" s="1" t="s">
        <v>6</v>
      </c>
      <c r="V23" s="1" t="s">
        <v>14</v>
      </c>
      <c r="W23" s="1">
        <v>10</v>
      </c>
      <c r="X23" s="1">
        <v>35</v>
      </c>
      <c r="Y23" s="1">
        <f t="shared" si="2"/>
        <v>350</v>
      </c>
      <c r="Z23" s="1" t="s">
        <v>6</v>
      </c>
    </row>
    <row r="24" spans="1:26" ht="15.75" thickBot="1" x14ac:dyDescent="0.3">
      <c r="A24" s="4" t="s">
        <v>40</v>
      </c>
      <c r="B24" s="5">
        <v>1</v>
      </c>
      <c r="C24" s="8">
        <v>20</v>
      </c>
      <c r="D24" s="5">
        <f t="shared" si="0"/>
        <v>20</v>
      </c>
      <c r="E24" s="1" t="s">
        <v>6</v>
      </c>
      <c r="Y24" s="3">
        <f>SUM(Y21:Y23)</f>
        <v>420</v>
      </c>
      <c r="Z24" s="3" t="s">
        <v>6</v>
      </c>
    </row>
    <row r="25" spans="1:26" ht="15.75" thickBot="1" x14ac:dyDescent="0.3">
      <c r="A25" s="4" t="s">
        <v>41</v>
      </c>
      <c r="B25" s="5">
        <v>1</v>
      </c>
      <c r="C25" s="8">
        <v>20</v>
      </c>
      <c r="D25" s="5">
        <f t="shared" ref="D25:D60" si="3">C25*B25</f>
        <v>20</v>
      </c>
      <c r="E25" s="1" t="s">
        <v>6</v>
      </c>
      <c r="V25" s="38" t="s">
        <v>15</v>
      </c>
      <c r="W25" s="39"/>
      <c r="X25" s="39"/>
      <c r="Y25" s="39"/>
      <c r="Z25" s="40"/>
    </row>
    <row r="26" spans="1:26" x14ac:dyDescent="0.25">
      <c r="A26" s="4" t="s">
        <v>42</v>
      </c>
      <c r="B26" s="5">
        <v>1</v>
      </c>
      <c r="C26" s="8">
        <f>15/10</f>
        <v>1.5</v>
      </c>
      <c r="D26" s="5">
        <f t="shared" si="3"/>
        <v>1.5</v>
      </c>
      <c r="E26" s="1" t="s">
        <v>6</v>
      </c>
      <c r="V26" s="2" t="s">
        <v>1</v>
      </c>
      <c r="W26" s="2" t="s">
        <v>2</v>
      </c>
      <c r="X26" s="2" t="s">
        <v>3</v>
      </c>
      <c r="Y26" s="2" t="s">
        <v>4</v>
      </c>
      <c r="Z26" s="2"/>
    </row>
    <row r="27" spans="1:26" x14ac:dyDescent="0.25">
      <c r="A27" s="4" t="s">
        <v>43</v>
      </c>
      <c r="B27" s="5">
        <v>2</v>
      </c>
      <c r="C27" s="8">
        <f>15/9</f>
        <v>1.6666666666666667</v>
      </c>
      <c r="D27" s="5">
        <f t="shared" si="3"/>
        <v>3.3333333333333335</v>
      </c>
      <c r="E27" s="1" t="s">
        <v>6</v>
      </c>
      <c r="V27" s="1" t="s">
        <v>16</v>
      </c>
      <c r="W27" s="1">
        <v>1</v>
      </c>
      <c r="X27" s="1">
        <v>35</v>
      </c>
      <c r="Y27" s="1">
        <f t="shared" ref="Y27:Y28" si="4">X27*W27</f>
        <v>35</v>
      </c>
      <c r="Z27" s="1" t="s">
        <v>6</v>
      </c>
    </row>
    <row r="28" spans="1:26" x14ac:dyDescent="0.25">
      <c r="A28" s="4" t="s">
        <v>44</v>
      </c>
      <c r="B28" s="5">
        <v>1</v>
      </c>
      <c r="C28" s="8">
        <v>10</v>
      </c>
      <c r="D28" s="5">
        <f t="shared" si="3"/>
        <v>10</v>
      </c>
      <c r="E28" s="1" t="s">
        <v>6</v>
      </c>
      <c r="V28" s="1" t="s">
        <v>17</v>
      </c>
      <c r="W28" s="1">
        <v>5</v>
      </c>
      <c r="X28" s="1">
        <v>35</v>
      </c>
      <c r="Y28" s="1">
        <f t="shared" si="4"/>
        <v>175</v>
      </c>
      <c r="Z28" s="1" t="s">
        <v>6</v>
      </c>
    </row>
    <row r="29" spans="1:26" ht="15.75" thickBot="1" x14ac:dyDescent="0.3">
      <c r="A29" s="4" t="s">
        <v>45</v>
      </c>
      <c r="B29" s="5">
        <v>1</v>
      </c>
      <c r="C29" s="8">
        <v>3</v>
      </c>
      <c r="D29" s="5">
        <f t="shared" si="3"/>
        <v>3</v>
      </c>
      <c r="E29" s="1" t="s">
        <v>6</v>
      </c>
      <c r="Y29" s="3">
        <f>SUM(Y27:Y28)</f>
        <v>210</v>
      </c>
      <c r="Z29" s="3" t="s">
        <v>6</v>
      </c>
    </row>
    <row r="30" spans="1:26" ht="15.75" thickBot="1" x14ac:dyDescent="0.3">
      <c r="A30" s="4" t="s">
        <v>46</v>
      </c>
      <c r="B30" s="5">
        <v>1</v>
      </c>
      <c r="C30" s="8">
        <v>140</v>
      </c>
      <c r="D30" s="5">
        <f t="shared" si="3"/>
        <v>140</v>
      </c>
      <c r="E30" s="1" t="s">
        <v>6</v>
      </c>
      <c r="V30" s="38" t="s">
        <v>15</v>
      </c>
      <c r="W30" s="39"/>
      <c r="X30" s="39"/>
      <c r="Y30" s="39"/>
      <c r="Z30" s="40"/>
    </row>
    <row r="31" spans="1:26" x14ac:dyDescent="0.25">
      <c r="A31" s="4" t="s">
        <v>47</v>
      </c>
      <c r="B31" s="5">
        <v>2</v>
      </c>
      <c r="C31" s="8">
        <v>10</v>
      </c>
      <c r="D31" s="5">
        <f t="shared" si="3"/>
        <v>20</v>
      </c>
      <c r="E31" s="1" t="s">
        <v>6</v>
      </c>
      <c r="V31" s="2" t="s">
        <v>1</v>
      </c>
      <c r="W31" s="2" t="s">
        <v>2</v>
      </c>
      <c r="X31" s="2" t="s">
        <v>3</v>
      </c>
      <c r="Y31" s="2" t="s">
        <v>4</v>
      </c>
      <c r="Z31" s="2"/>
    </row>
    <row r="32" spans="1:26" x14ac:dyDescent="0.25">
      <c r="A32" s="4" t="s">
        <v>48</v>
      </c>
      <c r="B32" s="5">
        <v>1</v>
      </c>
      <c r="C32" s="8">
        <v>12</v>
      </c>
      <c r="D32" s="5">
        <f t="shared" si="3"/>
        <v>12</v>
      </c>
      <c r="E32" s="1" t="s">
        <v>6</v>
      </c>
      <c r="V32" s="1" t="s">
        <v>16</v>
      </c>
      <c r="W32" s="1">
        <v>1</v>
      </c>
      <c r="X32" s="1">
        <v>35</v>
      </c>
      <c r="Y32" s="1">
        <f t="shared" ref="Y32:Y33" si="5">X32*W32</f>
        <v>35</v>
      </c>
      <c r="Z32" s="1" t="s">
        <v>6</v>
      </c>
    </row>
    <row r="33" spans="1:26" x14ac:dyDescent="0.25">
      <c r="A33" s="4" t="s">
        <v>49</v>
      </c>
      <c r="B33" s="5">
        <v>6</v>
      </c>
      <c r="C33" s="8">
        <v>0.04</v>
      </c>
      <c r="D33" s="5">
        <f t="shared" si="3"/>
        <v>0.24</v>
      </c>
      <c r="E33" s="1" t="s">
        <v>6</v>
      </c>
      <c r="V33" s="1" t="s">
        <v>17</v>
      </c>
      <c r="W33" s="1">
        <v>5</v>
      </c>
      <c r="X33" s="1">
        <v>35</v>
      </c>
      <c r="Y33" s="1">
        <f t="shared" si="5"/>
        <v>175</v>
      </c>
      <c r="Z33" s="1" t="s">
        <v>6</v>
      </c>
    </row>
    <row r="34" spans="1:26" ht="15.75" thickBot="1" x14ac:dyDescent="0.3">
      <c r="A34" s="4" t="s">
        <v>50</v>
      </c>
      <c r="B34" s="5">
        <v>1</v>
      </c>
      <c r="C34" s="8"/>
      <c r="D34" s="5">
        <f t="shared" si="3"/>
        <v>0</v>
      </c>
      <c r="E34" s="1" t="s">
        <v>6</v>
      </c>
      <c r="Y34" s="3">
        <f>SUM(Y32:Y33)</f>
        <v>210</v>
      </c>
      <c r="Z34" s="3" t="s">
        <v>6</v>
      </c>
    </row>
    <row r="35" spans="1:26" ht="15.75" thickBot="1" x14ac:dyDescent="0.3">
      <c r="A35" s="4" t="s">
        <v>51</v>
      </c>
      <c r="B35" s="5">
        <v>24</v>
      </c>
      <c r="C35" s="8">
        <v>0.3</v>
      </c>
      <c r="D35" s="5">
        <f t="shared" si="3"/>
        <v>7.1999999999999993</v>
      </c>
      <c r="E35" s="1" t="s">
        <v>6</v>
      </c>
      <c r="V35" s="38" t="s">
        <v>18</v>
      </c>
      <c r="W35" s="39"/>
      <c r="X35" s="39"/>
      <c r="Y35" s="39"/>
      <c r="Z35" s="40"/>
    </row>
    <row r="36" spans="1:26" x14ac:dyDescent="0.25">
      <c r="A36" s="4" t="s">
        <v>52</v>
      </c>
      <c r="B36" s="5">
        <v>24</v>
      </c>
      <c r="C36" s="8">
        <v>0.5</v>
      </c>
      <c r="D36" s="5">
        <f t="shared" si="3"/>
        <v>12</v>
      </c>
      <c r="E36" s="1" t="s">
        <v>6</v>
      </c>
      <c r="V36" s="55" t="s">
        <v>19</v>
      </c>
      <c r="W36" s="55"/>
      <c r="X36" s="55"/>
      <c r="Y36" s="2">
        <v>1800</v>
      </c>
      <c r="Z36" s="2" t="s">
        <v>6</v>
      </c>
    </row>
    <row r="37" spans="1:26" x14ac:dyDescent="0.25">
      <c r="A37" s="4" t="s">
        <v>53</v>
      </c>
      <c r="B37" s="5">
        <v>29</v>
      </c>
      <c r="C37" s="8">
        <v>0.36</v>
      </c>
      <c r="D37" s="5">
        <f t="shared" si="3"/>
        <v>10.44</v>
      </c>
      <c r="E37" s="1" t="s">
        <v>6</v>
      </c>
      <c r="V37" s="56" t="s">
        <v>20</v>
      </c>
      <c r="W37" s="56"/>
      <c r="X37" s="56"/>
      <c r="Y37" s="1">
        <v>450</v>
      </c>
      <c r="Z37" s="1" t="s">
        <v>6</v>
      </c>
    </row>
    <row r="38" spans="1:26" x14ac:dyDescent="0.25">
      <c r="A38" s="4" t="s">
        <v>54</v>
      </c>
      <c r="B38" s="5">
        <v>4</v>
      </c>
      <c r="C38" s="8">
        <v>2</v>
      </c>
      <c r="D38" s="5">
        <f t="shared" si="3"/>
        <v>8</v>
      </c>
      <c r="E38" s="1" t="s">
        <v>6</v>
      </c>
      <c r="V38" s="56" t="s">
        <v>21</v>
      </c>
      <c r="W38" s="56"/>
      <c r="X38" s="56"/>
      <c r="Y38" s="1">
        <v>350</v>
      </c>
      <c r="Z38" s="1" t="s">
        <v>6</v>
      </c>
    </row>
    <row r="39" spans="1:26" x14ac:dyDescent="0.25">
      <c r="A39" s="4" t="s">
        <v>55</v>
      </c>
      <c r="B39" s="5">
        <v>1</v>
      </c>
      <c r="C39" s="8">
        <v>14</v>
      </c>
      <c r="D39" s="5">
        <f t="shared" si="3"/>
        <v>14</v>
      </c>
      <c r="E39" s="1" t="s">
        <v>6</v>
      </c>
      <c r="Y39" s="1">
        <f>SUM(Y36:Y38)</f>
        <v>2600</v>
      </c>
      <c r="Z39" s="1" t="s">
        <v>6</v>
      </c>
    </row>
    <row r="40" spans="1:26" x14ac:dyDescent="0.25">
      <c r="A40" s="4" t="s">
        <v>56</v>
      </c>
      <c r="B40" s="5">
        <v>1</v>
      </c>
      <c r="C40" s="8">
        <v>1.5</v>
      </c>
      <c r="D40" s="5">
        <f t="shared" si="3"/>
        <v>1.5</v>
      </c>
      <c r="E40" s="1" t="s">
        <v>6</v>
      </c>
    </row>
    <row r="41" spans="1:26" x14ac:dyDescent="0.25">
      <c r="A41" s="4" t="s">
        <v>57</v>
      </c>
      <c r="B41" s="5">
        <v>2</v>
      </c>
      <c r="C41" s="8">
        <v>8</v>
      </c>
      <c r="D41" s="5">
        <f t="shared" si="3"/>
        <v>16</v>
      </c>
      <c r="E41" s="1" t="s">
        <v>6</v>
      </c>
    </row>
    <row r="42" spans="1:26" x14ac:dyDescent="0.25">
      <c r="A42" s="4" t="s">
        <v>58</v>
      </c>
      <c r="B42" s="5">
        <v>1</v>
      </c>
      <c r="C42" s="8">
        <v>24</v>
      </c>
      <c r="D42" s="5">
        <f t="shared" si="3"/>
        <v>24</v>
      </c>
      <c r="E42" s="1" t="s">
        <v>6</v>
      </c>
    </row>
    <row r="43" spans="1:26" x14ac:dyDescent="0.25">
      <c r="A43" s="4" t="s">
        <v>59</v>
      </c>
      <c r="B43" s="5">
        <v>1</v>
      </c>
      <c r="C43" s="8">
        <v>24</v>
      </c>
      <c r="D43" s="5">
        <f t="shared" si="3"/>
        <v>24</v>
      </c>
      <c r="E43" s="1" t="s">
        <v>6</v>
      </c>
    </row>
    <row r="44" spans="1:26" x14ac:dyDescent="0.25">
      <c r="A44" s="4" t="s">
        <v>60</v>
      </c>
      <c r="B44" s="5">
        <v>1</v>
      </c>
      <c r="C44" s="8">
        <v>6</v>
      </c>
      <c r="D44" s="5">
        <f t="shared" si="3"/>
        <v>6</v>
      </c>
      <c r="E44" s="1" t="s">
        <v>6</v>
      </c>
    </row>
    <row r="45" spans="1:26" x14ac:dyDescent="0.25">
      <c r="A45" s="4" t="s">
        <v>61</v>
      </c>
      <c r="B45" s="5">
        <v>1</v>
      </c>
      <c r="C45" s="8">
        <v>3</v>
      </c>
      <c r="D45" s="5">
        <f t="shared" si="3"/>
        <v>3</v>
      </c>
      <c r="E45" s="1" t="s">
        <v>6</v>
      </c>
    </row>
    <row r="46" spans="1:26" x14ac:dyDescent="0.25">
      <c r="A46" s="4" t="s">
        <v>62</v>
      </c>
      <c r="B46" s="5">
        <v>1</v>
      </c>
      <c r="C46" s="8">
        <v>2</v>
      </c>
      <c r="D46" s="5">
        <f t="shared" si="3"/>
        <v>2</v>
      </c>
      <c r="E46" s="1" t="s">
        <v>6</v>
      </c>
    </row>
    <row r="47" spans="1:26" x14ac:dyDescent="0.25">
      <c r="A47" s="4" t="s">
        <v>63</v>
      </c>
      <c r="B47" s="5">
        <v>1</v>
      </c>
      <c r="C47" s="8">
        <v>2.5</v>
      </c>
      <c r="D47" s="5">
        <f t="shared" si="3"/>
        <v>2.5</v>
      </c>
      <c r="E47" s="1" t="s">
        <v>6</v>
      </c>
    </row>
    <row r="48" spans="1:26" x14ac:dyDescent="0.25">
      <c r="A48" s="4" t="s">
        <v>64</v>
      </c>
      <c r="B48" s="5">
        <v>1</v>
      </c>
      <c r="C48" s="8">
        <v>3</v>
      </c>
      <c r="D48" s="5">
        <f t="shared" si="3"/>
        <v>3</v>
      </c>
      <c r="E48" s="1" t="s">
        <v>6</v>
      </c>
    </row>
    <row r="49" spans="1:6" x14ac:dyDescent="0.25">
      <c r="A49" s="4" t="s">
        <v>65</v>
      </c>
      <c r="B49" s="5">
        <v>1</v>
      </c>
      <c r="C49" s="8">
        <v>2</v>
      </c>
      <c r="D49" s="5">
        <f t="shared" si="3"/>
        <v>2</v>
      </c>
      <c r="E49" s="1" t="s">
        <v>6</v>
      </c>
    </row>
    <row r="50" spans="1:6" x14ac:dyDescent="0.25">
      <c r="A50" s="4" t="s">
        <v>66</v>
      </c>
      <c r="B50" s="5">
        <v>4</v>
      </c>
      <c r="C50" s="8">
        <v>1.2</v>
      </c>
      <c r="D50" s="5">
        <f t="shared" si="3"/>
        <v>4.8</v>
      </c>
      <c r="E50" s="1" t="s">
        <v>6</v>
      </c>
    </row>
    <row r="51" spans="1:6" x14ac:dyDescent="0.25">
      <c r="A51" s="4" t="s">
        <v>67</v>
      </c>
      <c r="B51" s="5">
        <v>4</v>
      </c>
      <c r="C51" s="8">
        <v>1.25</v>
      </c>
      <c r="D51" s="5">
        <f t="shared" si="3"/>
        <v>5</v>
      </c>
      <c r="E51" s="1" t="s">
        <v>6</v>
      </c>
    </row>
    <row r="52" spans="1:6" x14ac:dyDescent="0.25">
      <c r="A52" s="4" t="s">
        <v>68</v>
      </c>
      <c r="B52" s="5">
        <v>1</v>
      </c>
      <c r="C52" s="8">
        <v>0.65</v>
      </c>
      <c r="D52" s="5">
        <f t="shared" si="3"/>
        <v>0.65</v>
      </c>
      <c r="E52" s="1" t="s">
        <v>6</v>
      </c>
    </row>
    <row r="53" spans="1:6" x14ac:dyDescent="0.25">
      <c r="A53" s="4" t="s">
        <v>69</v>
      </c>
      <c r="B53" s="5">
        <v>8</v>
      </c>
      <c r="C53" s="8">
        <v>1</v>
      </c>
      <c r="D53" s="5">
        <f t="shared" si="3"/>
        <v>8</v>
      </c>
      <c r="E53" s="1" t="s">
        <v>6</v>
      </c>
    </row>
    <row r="54" spans="1:6" x14ac:dyDescent="0.25">
      <c r="A54" s="4" t="s">
        <v>70</v>
      </c>
      <c r="B54" s="5">
        <v>4</v>
      </c>
      <c r="C54" s="8">
        <v>1</v>
      </c>
      <c r="D54" s="5">
        <f t="shared" si="3"/>
        <v>4</v>
      </c>
      <c r="E54" s="1" t="s">
        <v>6</v>
      </c>
    </row>
    <row r="55" spans="1:6" x14ac:dyDescent="0.25">
      <c r="A55" s="4" t="s">
        <v>71</v>
      </c>
      <c r="B55" s="5">
        <v>35</v>
      </c>
      <c r="C55" s="8">
        <v>0.1</v>
      </c>
      <c r="D55" s="5">
        <f t="shared" si="3"/>
        <v>3.5</v>
      </c>
      <c r="E55" s="1" t="s">
        <v>6</v>
      </c>
    </row>
    <row r="56" spans="1:6" x14ac:dyDescent="0.25">
      <c r="A56" s="4" t="s">
        <v>72</v>
      </c>
      <c r="B56" s="5">
        <v>150</v>
      </c>
      <c r="C56" s="8">
        <v>0.1</v>
      </c>
      <c r="D56" s="5">
        <f t="shared" si="3"/>
        <v>15</v>
      </c>
      <c r="E56" s="1" t="s">
        <v>6</v>
      </c>
    </row>
    <row r="57" spans="1:6" x14ac:dyDescent="0.25">
      <c r="A57" s="4" t="s">
        <v>73</v>
      </c>
      <c r="B57" s="5">
        <v>2</v>
      </c>
      <c r="C57" s="8">
        <v>1</v>
      </c>
      <c r="D57" s="5">
        <f t="shared" si="3"/>
        <v>2</v>
      </c>
      <c r="E57" s="1" t="s">
        <v>6</v>
      </c>
    </row>
    <row r="58" spans="1:6" x14ac:dyDescent="0.25">
      <c r="A58" s="4" t="s">
        <v>74</v>
      </c>
      <c r="B58" s="5">
        <v>2</v>
      </c>
      <c r="C58" s="8">
        <v>2</v>
      </c>
      <c r="D58" s="5">
        <f t="shared" si="3"/>
        <v>4</v>
      </c>
      <c r="E58" s="1" t="s">
        <v>6</v>
      </c>
    </row>
    <row r="59" spans="1:6" x14ac:dyDescent="0.25">
      <c r="A59" s="4" t="s">
        <v>75</v>
      </c>
      <c r="B59" s="5">
        <v>4</v>
      </c>
      <c r="C59" s="8">
        <v>6</v>
      </c>
      <c r="D59" s="5">
        <f t="shared" si="3"/>
        <v>24</v>
      </c>
      <c r="E59" s="1" t="s">
        <v>6</v>
      </c>
    </row>
    <row r="60" spans="1:6" ht="15.75" thickBot="1" x14ac:dyDescent="0.3">
      <c r="A60" s="10" t="s">
        <v>76</v>
      </c>
      <c r="B60" s="11">
        <v>1</v>
      </c>
      <c r="C60" s="12">
        <v>15</v>
      </c>
      <c r="D60" s="11">
        <f t="shared" si="3"/>
        <v>15</v>
      </c>
      <c r="E60" s="3" t="s">
        <v>6</v>
      </c>
    </row>
    <row r="61" spans="1:6" ht="15.75" thickBot="1" x14ac:dyDescent="0.3">
      <c r="A61" s="44" t="s">
        <v>77</v>
      </c>
      <c r="B61" s="45"/>
      <c r="C61" s="46"/>
      <c r="D61" s="16">
        <f>SUM(D5:D60)</f>
        <v>862.08</v>
      </c>
      <c r="E61" s="17" t="s">
        <v>6</v>
      </c>
    </row>
    <row r="62" spans="1:6" ht="15.75" thickBot="1" x14ac:dyDescent="0.3"/>
    <row r="63" spans="1:6" ht="15.75" thickBot="1" x14ac:dyDescent="0.3">
      <c r="A63" s="47" t="s">
        <v>83</v>
      </c>
      <c r="B63" s="48"/>
      <c r="C63" s="48"/>
      <c r="D63" s="49"/>
      <c r="E63" s="49"/>
      <c r="F63" s="50"/>
    </row>
    <row r="64" spans="1:6" x14ac:dyDescent="0.25">
      <c r="A64" s="51" t="s">
        <v>101</v>
      </c>
      <c r="B64" s="51"/>
      <c r="C64" s="51"/>
      <c r="D64" s="19" t="s">
        <v>137</v>
      </c>
    </row>
    <row r="65" spans="1:5" x14ac:dyDescent="0.25">
      <c r="A65" s="52" t="s">
        <v>84</v>
      </c>
      <c r="B65" s="53"/>
      <c r="C65" s="54"/>
      <c r="D65" s="21">
        <v>2</v>
      </c>
      <c r="E65" s="21"/>
    </row>
    <row r="66" spans="1:5" x14ac:dyDescent="0.25">
      <c r="A66" s="57" t="s">
        <v>85</v>
      </c>
      <c r="B66" s="57"/>
      <c r="C66" s="57"/>
      <c r="D66" s="21">
        <v>1</v>
      </c>
      <c r="E66" s="21"/>
    </row>
    <row r="67" spans="1:5" x14ac:dyDescent="0.25">
      <c r="A67" s="57" t="s">
        <v>86</v>
      </c>
      <c r="B67" s="57"/>
      <c r="C67" s="57"/>
      <c r="D67" s="21">
        <v>2</v>
      </c>
      <c r="E67" s="21"/>
    </row>
    <row r="68" spans="1:5" x14ac:dyDescent="0.25">
      <c r="A68" s="57" t="s">
        <v>87</v>
      </c>
      <c r="B68" s="57"/>
      <c r="C68" s="57"/>
      <c r="D68" s="21">
        <v>2</v>
      </c>
      <c r="E68" s="21"/>
    </row>
    <row r="69" spans="1:5" x14ac:dyDescent="0.25">
      <c r="A69" s="57" t="s">
        <v>88</v>
      </c>
      <c r="B69" s="57"/>
      <c r="C69" s="57"/>
      <c r="D69" s="21">
        <v>2</v>
      </c>
      <c r="E69" s="21"/>
    </row>
    <row r="70" spans="1:5" x14ac:dyDescent="0.25">
      <c r="A70" s="57" t="s">
        <v>89</v>
      </c>
      <c r="B70" s="57"/>
      <c r="C70" s="57"/>
      <c r="D70" s="21">
        <v>2</v>
      </c>
      <c r="E70" s="21"/>
    </row>
    <row r="71" spans="1:5" x14ac:dyDescent="0.25">
      <c r="A71" s="57" t="s">
        <v>90</v>
      </c>
      <c r="B71" s="57"/>
      <c r="C71" s="57"/>
      <c r="D71" s="21">
        <v>2</v>
      </c>
      <c r="E71" s="21"/>
    </row>
    <row r="72" spans="1:5" x14ac:dyDescent="0.25">
      <c r="A72" s="57" t="s">
        <v>91</v>
      </c>
      <c r="B72" s="57"/>
      <c r="C72" s="57"/>
      <c r="D72" s="21">
        <v>2</v>
      </c>
      <c r="E72" s="21"/>
    </row>
    <row r="73" spans="1:5" x14ac:dyDescent="0.25">
      <c r="A73" s="57" t="s">
        <v>92</v>
      </c>
      <c r="B73" s="57"/>
      <c r="C73" s="57"/>
      <c r="D73" s="21">
        <v>2</v>
      </c>
      <c r="E73" s="21"/>
    </row>
    <row r="74" spans="1:5" x14ac:dyDescent="0.25">
      <c r="A74" s="57" t="s">
        <v>93</v>
      </c>
      <c r="B74" s="57"/>
      <c r="C74" s="57"/>
      <c r="D74" s="21">
        <v>2</v>
      </c>
      <c r="E74" s="21"/>
    </row>
    <row r="75" spans="1:5" x14ac:dyDescent="0.25">
      <c r="A75" s="57" t="s">
        <v>94</v>
      </c>
      <c r="B75" s="57"/>
      <c r="C75" s="57"/>
      <c r="D75" s="21">
        <v>4</v>
      </c>
      <c r="E75" s="21"/>
    </row>
    <row r="76" spans="1:5" x14ac:dyDescent="0.25">
      <c r="A76" s="57" t="s">
        <v>95</v>
      </c>
      <c r="B76" s="57"/>
      <c r="C76" s="57"/>
      <c r="D76" s="21">
        <v>2</v>
      </c>
      <c r="E76" s="21"/>
    </row>
    <row r="77" spans="1:5" x14ac:dyDescent="0.25">
      <c r="A77" s="57" t="s">
        <v>96</v>
      </c>
      <c r="B77" s="57"/>
      <c r="C77" s="57"/>
      <c r="D77" s="21">
        <v>2</v>
      </c>
      <c r="E77" s="21"/>
    </row>
    <row r="78" spans="1:5" x14ac:dyDescent="0.25">
      <c r="A78" s="57" t="s">
        <v>97</v>
      </c>
      <c r="B78" s="57"/>
      <c r="C78" s="57"/>
      <c r="D78" s="21">
        <v>1</v>
      </c>
      <c r="E78" s="21"/>
    </row>
    <row r="79" spans="1:5" x14ac:dyDescent="0.25">
      <c r="A79" s="57" t="s">
        <v>98</v>
      </c>
      <c r="B79" s="57"/>
      <c r="C79" s="57"/>
      <c r="D79" s="21">
        <v>1</v>
      </c>
      <c r="E79" s="21"/>
    </row>
    <row r="80" spans="1:5" x14ac:dyDescent="0.25">
      <c r="A80" s="57" t="s">
        <v>99</v>
      </c>
      <c r="B80" s="57"/>
      <c r="C80" s="57"/>
      <c r="D80" s="22">
        <v>6</v>
      </c>
      <c r="E80" s="18" t="s">
        <v>100</v>
      </c>
    </row>
    <row r="81" spans="1:6" ht="15.75" thickBot="1" x14ac:dyDescent="0.3">
      <c r="A81" s="57" t="s">
        <v>77</v>
      </c>
      <c r="B81" s="57"/>
      <c r="C81" s="57"/>
      <c r="D81" s="23">
        <v>12</v>
      </c>
      <c r="E81" s="17" t="s">
        <v>6</v>
      </c>
    </row>
    <row r="82" spans="1:6" ht="15.75" thickBot="1" x14ac:dyDescent="0.3">
      <c r="A82" s="20"/>
      <c r="B82" s="20"/>
      <c r="C82" s="20"/>
      <c r="D82" s="20"/>
      <c r="E82" s="20"/>
    </row>
    <row r="83" spans="1:6" ht="15.75" thickBot="1" x14ac:dyDescent="0.3">
      <c r="A83" s="47" t="s">
        <v>116</v>
      </c>
      <c r="B83" s="48"/>
      <c r="C83" s="48"/>
      <c r="D83" s="49"/>
      <c r="E83" s="49"/>
      <c r="F83" s="50"/>
    </row>
    <row r="84" spans="1:6" x14ac:dyDescent="0.25">
      <c r="A84" s="6" t="s">
        <v>101</v>
      </c>
      <c r="B84" s="6" t="s">
        <v>102</v>
      </c>
      <c r="C84" s="6" t="s">
        <v>103</v>
      </c>
      <c r="D84" s="6" t="s">
        <v>104</v>
      </c>
      <c r="E84" s="6" t="s">
        <v>105</v>
      </c>
    </row>
    <row r="85" spans="1:6" x14ac:dyDescent="0.25">
      <c r="A85" s="1" t="s">
        <v>106</v>
      </c>
      <c r="B85" s="1" t="s">
        <v>107</v>
      </c>
      <c r="C85" s="1" t="s">
        <v>108</v>
      </c>
      <c r="D85" s="1">
        <v>25</v>
      </c>
      <c r="E85" s="1">
        <v>50</v>
      </c>
    </row>
    <row r="86" spans="1:6" x14ac:dyDescent="0.25">
      <c r="A86" s="1" t="s">
        <v>109</v>
      </c>
      <c r="B86" s="1" t="s">
        <v>107</v>
      </c>
      <c r="C86" s="1" t="s">
        <v>110</v>
      </c>
      <c r="D86" s="1">
        <v>25</v>
      </c>
      <c r="E86" s="1">
        <v>25</v>
      </c>
    </row>
    <row r="87" spans="1:6" x14ac:dyDescent="0.25">
      <c r="A87" s="4" t="s">
        <v>111</v>
      </c>
      <c r="B87" s="1" t="s">
        <v>107</v>
      </c>
      <c r="C87" s="1" t="s">
        <v>112</v>
      </c>
      <c r="D87" s="1">
        <v>25</v>
      </c>
      <c r="E87" s="1">
        <v>12.5</v>
      </c>
    </row>
    <row r="88" spans="1:6" ht="15.75" thickBot="1" x14ac:dyDescent="0.3">
      <c r="A88" s="10" t="s">
        <v>113</v>
      </c>
      <c r="B88" s="3" t="s">
        <v>114</v>
      </c>
      <c r="C88" s="3" t="s">
        <v>115</v>
      </c>
      <c r="D88" s="3">
        <v>25</v>
      </c>
      <c r="E88" s="3">
        <v>2.5</v>
      </c>
    </row>
    <row r="89" spans="1:6" ht="15.75" thickBot="1" x14ac:dyDescent="0.3">
      <c r="A89" s="58" t="s">
        <v>77</v>
      </c>
      <c r="B89" s="59"/>
      <c r="C89" s="59"/>
      <c r="D89" s="24">
        <f>SUM(E85:E88)</f>
        <v>90</v>
      </c>
      <c r="E89" s="17" t="s">
        <v>6</v>
      </c>
    </row>
    <row r="90" spans="1:6" ht="15.75" thickBot="1" x14ac:dyDescent="0.3"/>
    <row r="91" spans="1:6" ht="15.75" thickBot="1" x14ac:dyDescent="0.3">
      <c r="A91" s="62" t="s">
        <v>121</v>
      </c>
      <c r="B91" s="63"/>
      <c r="C91" s="63"/>
      <c r="D91" s="63"/>
      <c r="E91" s="63"/>
      <c r="F91" s="64"/>
    </row>
    <row r="92" spans="1:6" x14ac:dyDescent="0.25">
      <c r="A92" s="30" t="s">
        <v>78</v>
      </c>
      <c r="B92" s="30" t="s">
        <v>119</v>
      </c>
      <c r="C92" s="30" t="s">
        <v>118</v>
      </c>
      <c r="D92" s="60" t="s">
        <v>77</v>
      </c>
      <c r="E92" s="61"/>
    </row>
    <row r="93" spans="1:6" x14ac:dyDescent="0.25">
      <c r="A93" s="1" t="s">
        <v>136</v>
      </c>
      <c r="B93" s="1">
        <v>150</v>
      </c>
      <c r="C93" s="1">
        <v>35</v>
      </c>
      <c r="D93" s="1">
        <f>C93*B93</f>
        <v>5250</v>
      </c>
      <c r="E93" s="1" t="s">
        <v>6</v>
      </c>
    </row>
    <row r="94" spans="1:6" x14ac:dyDescent="0.25">
      <c r="A94" s="1" t="s">
        <v>135</v>
      </c>
      <c r="B94" s="1">
        <v>100</v>
      </c>
      <c r="C94" s="1">
        <v>35</v>
      </c>
      <c r="D94" s="1">
        <f t="shared" ref="D94:D97" si="6">C94*B94</f>
        <v>3500</v>
      </c>
      <c r="E94" s="1" t="s">
        <v>6</v>
      </c>
    </row>
    <row r="95" spans="1:6" x14ac:dyDescent="0.25">
      <c r="A95" s="1" t="s">
        <v>134</v>
      </c>
      <c r="B95" s="1">
        <v>5</v>
      </c>
      <c r="C95" s="1">
        <v>35</v>
      </c>
      <c r="D95" s="1">
        <f t="shared" si="6"/>
        <v>175</v>
      </c>
      <c r="E95" s="1" t="s">
        <v>6</v>
      </c>
    </row>
    <row r="96" spans="1:6" x14ac:dyDescent="0.25">
      <c r="A96" s="1" t="s">
        <v>133</v>
      </c>
      <c r="B96" s="1">
        <v>5</v>
      </c>
      <c r="C96" s="1">
        <v>35</v>
      </c>
      <c r="D96" s="1">
        <f t="shared" si="6"/>
        <v>175</v>
      </c>
      <c r="E96" s="1" t="s">
        <v>6</v>
      </c>
    </row>
    <row r="97" spans="1:6" ht="15.75" thickBot="1" x14ac:dyDescent="0.3">
      <c r="A97" s="1" t="s">
        <v>132</v>
      </c>
      <c r="B97" s="1">
        <v>2</v>
      </c>
      <c r="C97" s="1">
        <v>35</v>
      </c>
      <c r="D97" s="1">
        <f t="shared" si="6"/>
        <v>70</v>
      </c>
      <c r="E97" s="1" t="s">
        <v>6</v>
      </c>
    </row>
    <row r="98" spans="1:6" ht="15.75" thickBot="1" x14ac:dyDescent="0.3">
      <c r="A98" s="58" t="s">
        <v>77</v>
      </c>
      <c r="B98" s="59"/>
      <c r="C98" s="59"/>
      <c r="D98" s="25">
        <f>SUM(D93:D97)</f>
        <v>9170</v>
      </c>
      <c r="E98" s="25" t="s">
        <v>6</v>
      </c>
    </row>
    <row r="99" spans="1:6" ht="15.75" thickBot="1" x14ac:dyDescent="0.3">
      <c r="A99" s="62" t="s">
        <v>120</v>
      </c>
      <c r="B99" s="63"/>
      <c r="C99" s="63"/>
      <c r="D99" s="63"/>
      <c r="E99" s="63"/>
      <c r="F99" s="64"/>
    </row>
    <row r="100" spans="1:6" x14ac:dyDescent="0.25">
      <c r="A100" s="30" t="s">
        <v>78</v>
      </c>
      <c r="B100" s="30" t="s">
        <v>119</v>
      </c>
      <c r="C100" s="30" t="s">
        <v>118</v>
      </c>
      <c r="D100" s="60" t="s">
        <v>77</v>
      </c>
      <c r="E100" s="61"/>
    </row>
    <row r="101" spans="1:6" x14ac:dyDescent="0.25">
      <c r="A101" s="1" t="s">
        <v>131</v>
      </c>
      <c r="B101" s="1">
        <v>1</v>
      </c>
      <c r="C101" s="1">
        <v>35</v>
      </c>
      <c r="D101" s="1">
        <f t="shared" ref="D101:D102" si="7">C101*B101</f>
        <v>35</v>
      </c>
      <c r="E101" s="1" t="s">
        <v>6</v>
      </c>
    </row>
    <row r="102" spans="1:6" ht="15.75" thickBot="1" x14ac:dyDescent="0.3">
      <c r="A102" s="1" t="s">
        <v>130</v>
      </c>
      <c r="B102" s="1">
        <v>10</v>
      </c>
      <c r="C102" s="1">
        <v>35</v>
      </c>
      <c r="D102" s="1">
        <f t="shared" si="7"/>
        <v>350</v>
      </c>
      <c r="E102" s="1" t="s">
        <v>6</v>
      </c>
    </row>
    <row r="103" spans="1:6" ht="15.75" thickBot="1" x14ac:dyDescent="0.3">
      <c r="A103" s="58" t="s">
        <v>77</v>
      </c>
      <c r="B103" s="59"/>
      <c r="C103" s="59"/>
      <c r="D103" s="17">
        <f>SUM(D101:D102)</f>
        <v>385</v>
      </c>
      <c r="E103" s="17" t="s">
        <v>6</v>
      </c>
    </row>
    <row r="104" spans="1:6" ht="15.75" thickBot="1" x14ac:dyDescent="0.3">
      <c r="A104" s="62" t="s">
        <v>127</v>
      </c>
      <c r="B104" s="63"/>
      <c r="C104" s="63"/>
      <c r="D104" s="65"/>
      <c r="E104" s="65"/>
      <c r="F104" s="64"/>
    </row>
    <row r="105" spans="1:6" x14ac:dyDescent="0.25">
      <c r="A105" s="30" t="s">
        <v>78</v>
      </c>
      <c r="B105" s="30" t="s">
        <v>119</v>
      </c>
      <c r="C105" s="30" t="s">
        <v>118</v>
      </c>
      <c r="D105" s="60" t="s">
        <v>77</v>
      </c>
      <c r="E105" s="61"/>
    </row>
    <row r="106" spans="1:6" x14ac:dyDescent="0.25">
      <c r="A106" s="1" t="s">
        <v>128</v>
      </c>
      <c r="B106" s="1">
        <v>1</v>
      </c>
      <c r="C106" s="1">
        <v>35</v>
      </c>
      <c r="D106" s="1">
        <f t="shared" ref="D106:D107" si="8">C106*B106</f>
        <v>35</v>
      </c>
      <c r="E106" s="1" t="s">
        <v>6</v>
      </c>
    </row>
    <row r="107" spans="1:6" ht="15.75" thickBot="1" x14ac:dyDescent="0.3">
      <c r="A107" s="1" t="s">
        <v>129</v>
      </c>
      <c r="B107" s="1">
        <v>5</v>
      </c>
      <c r="C107" s="1">
        <v>35</v>
      </c>
      <c r="D107" s="1">
        <f t="shared" si="8"/>
        <v>175</v>
      </c>
      <c r="E107" s="1" t="s">
        <v>6</v>
      </c>
    </row>
    <row r="108" spans="1:6" ht="15.75" thickBot="1" x14ac:dyDescent="0.3">
      <c r="A108" s="58" t="s">
        <v>77</v>
      </c>
      <c r="B108" s="59"/>
      <c r="C108" s="59"/>
      <c r="D108" s="25">
        <f>SUM(D106:D107)</f>
        <v>210</v>
      </c>
      <c r="E108" s="25" t="s">
        <v>6</v>
      </c>
    </row>
    <row r="109" spans="1:6" ht="15.75" thickBot="1" x14ac:dyDescent="0.3">
      <c r="A109" s="62" t="s">
        <v>122</v>
      </c>
      <c r="B109" s="63"/>
      <c r="C109" s="63"/>
      <c r="D109" s="63"/>
      <c r="E109" s="63"/>
      <c r="F109" s="64"/>
    </row>
    <row r="110" spans="1:6" x14ac:dyDescent="0.25">
      <c r="A110" s="55" t="s">
        <v>138</v>
      </c>
      <c r="B110" s="55"/>
      <c r="C110" s="55"/>
      <c r="D110" s="2">
        <v>2000</v>
      </c>
      <c r="E110" s="2" t="s">
        <v>6</v>
      </c>
    </row>
    <row r="111" spans="1:6" x14ac:dyDescent="0.25">
      <c r="A111" s="56" t="s">
        <v>20</v>
      </c>
      <c r="B111" s="56"/>
      <c r="C111" s="56"/>
      <c r="D111" s="1">
        <v>350</v>
      </c>
      <c r="E111" s="1" t="s">
        <v>6</v>
      </c>
    </row>
    <row r="112" spans="1:6" x14ac:dyDescent="0.25">
      <c r="A112" s="56" t="s">
        <v>21</v>
      </c>
      <c r="B112" s="56"/>
      <c r="C112" s="56"/>
      <c r="D112" s="1">
        <v>350</v>
      </c>
      <c r="E112" s="1" t="s">
        <v>6</v>
      </c>
    </row>
    <row r="113" spans="1:6" ht="15.75" thickBot="1" x14ac:dyDescent="0.3">
      <c r="A113" s="56" t="s">
        <v>126</v>
      </c>
      <c r="B113" s="56"/>
      <c r="C113" s="56"/>
      <c r="D113" s="1">
        <v>800</v>
      </c>
      <c r="E113" s="1" t="s">
        <v>6</v>
      </c>
    </row>
    <row r="114" spans="1:6" ht="15.75" thickBot="1" x14ac:dyDescent="0.3">
      <c r="A114" s="58" t="s">
        <v>77</v>
      </c>
      <c r="B114" s="59"/>
      <c r="C114" s="59"/>
      <c r="D114" s="17">
        <f>SUM(D110:D113)</f>
        <v>3500</v>
      </c>
      <c r="E114" s="17" t="s">
        <v>6</v>
      </c>
    </row>
    <row r="115" spans="1:6" ht="15.75" thickBot="1" x14ac:dyDescent="0.3">
      <c r="A115" s="26"/>
      <c r="B115" s="26"/>
      <c r="C115" s="27"/>
      <c r="D115" s="28"/>
      <c r="E115" s="26"/>
    </row>
    <row r="116" spans="1:6" ht="24" thickBot="1" x14ac:dyDescent="0.4">
      <c r="A116" s="66" t="s">
        <v>123</v>
      </c>
      <c r="B116" s="67"/>
      <c r="C116" s="67"/>
      <c r="D116" s="31">
        <f>D114+D81+D61</f>
        <v>4374.08</v>
      </c>
      <c r="E116" s="32" t="s">
        <v>6</v>
      </c>
      <c r="F116" s="29"/>
    </row>
    <row r="117" spans="1:6" ht="19.5" thickBot="1" x14ac:dyDescent="0.35">
      <c r="A117" s="66" t="s">
        <v>124</v>
      </c>
      <c r="B117" s="67"/>
      <c r="C117" s="67"/>
      <c r="D117" s="33">
        <f>D108+D103+D98+D89</f>
        <v>9855</v>
      </c>
      <c r="E117" s="32" t="s">
        <v>6</v>
      </c>
    </row>
    <row r="118" spans="1:6" ht="19.5" thickBot="1" x14ac:dyDescent="0.35">
      <c r="A118" s="66" t="s">
        <v>77</v>
      </c>
      <c r="B118" s="67"/>
      <c r="C118" s="67"/>
      <c r="D118" s="31">
        <f>D117+D116</f>
        <v>14229.08</v>
      </c>
      <c r="E118" s="32" t="s">
        <v>6</v>
      </c>
    </row>
  </sheetData>
  <mergeCells count="50">
    <mergeCell ref="A114:C114"/>
    <mergeCell ref="A116:C116"/>
    <mergeCell ref="A117:C117"/>
    <mergeCell ref="A118:C118"/>
    <mergeCell ref="A98:C98"/>
    <mergeCell ref="A111:C111"/>
    <mergeCell ref="A112:C112"/>
    <mergeCell ref="A113:C113"/>
    <mergeCell ref="A91:F91"/>
    <mergeCell ref="A99:F99"/>
    <mergeCell ref="A104:F104"/>
    <mergeCell ref="D92:E92"/>
    <mergeCell ref="D100:E100"/>
    <mergeCell ref="D105:E105"/>
    <mergeCell ref="A110:C110"/>
    <mergeCell ref="A109:F109"/>
    <mergeCell ref="A103:C103"/>
    <mergeCell ref="A108:C108"/>
    <mergeCell ref="A89:C89"/>
    <mergeCell ref="A83:F83"/>
    <mergeCell ref="A78:C78"/>
    <mergeCell ref="A79:C79"/>
    <mergeCell ref="A80:C80"/>
    <mergeCell ref="A81:C81"/>
    <mergeCell ref="A77:C77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61:C61"/>
    <mergeCell ref="A63:F63"/>
    <mergeCell ref="A64:C64"/>
    <mergeCell ref="A65:C65"/>
    <mergeCell ref="V35:Z35"/>
    <mergeCell ref="V36:X36"/>
    <mergeCell ref="V37:X37"/>
    <mergeCell ref="V38:X38"/>
    <mergeCell ref="A1:L2"/>
    <mergeCell ref="V11:Z11"/>
    <mergeCell ref="V19:Z19"/>
    <mergeCell ref="V25:Z25"/>
    <mergeCell ref="V30:Z30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</dc:creator>
  <cp:lastModifiedBy>mert</cp:lastModifiedBy>
  <dcterms:created xsi:type="dcterms:W3CDTF">2020-06-06T14:28:20Z</dcterms:created>
  <dcterms:modified xsi:type="dcterms:W3CDTF">2020-06-25T17:18:04Z</dcterms:modified>
</cp:coreProperties>
</file>